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ndings" sheetId="1" r:id="rId4"/>
    <sheet state="visible" name="Schedule" sheetId="2" r:id="rId5"/>
    <sheet state="visible" name="Rules" sheetId="3" r:id="rId6"/>
    <sheet state="visible" name="Instructions" sheetId="4" r:id="rId7"/>
    <sheet state="visible" name="Start List" sheetId="5" r:id="rId8"/>
    <sheet state="visible" name="End List" sheetId="6" r:id="rId9"/>
    <sheet state="visible" name="Scaling" sheetId="7"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1">
      <text>
        <t xml:space="preserve">Loses tiebreak #1 to FabioMP.
Score 6 to 7.</t>
      </text>
    </comment>
    <comment authorId="0" ref="B30">
      <text>
        <t xml:space="preserve">Wins tiebreak #1 over nasing.
Score 7 to 6.</t>
      </text>
    </comment>
    <comment authorId="0" ref="M4">
      <text>
        <t xml:space="preserve">You get a nice premium for winning first place (e.g. 6 pts, vs 3 for 2nd). This tiebreaker helps mitigate that premium. Plus, many players voted for the 3-2-1-0 method</t>
      </text>
    </comment>
    <comment authorId="0" ref="Y27">
      <text>
        <t xml:space="preserve">Wins tiebreaker #2: two out of three matches, he scored higher than Circadia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72">
      <text>
        <t xml:space="preserve">Resign Age III</t>
      </text>
    </comment>
    <comment authorId="0" ref="I23">
      <text>
        <t xml:space="preserve">Resigned Age III</t>
      </text>
    </comment>
    <comment authorId="0" ref="I5">
      <text>
        <t xml:space="preserve">Resigned age III</t>
      </text>
    </comment>
    <comment authorId="0" ref="O24">
      <text>
        <t xml:space="preserve">Timed out</t>
      </text>
    </comment>
    <comment authorId="0" ref="M17">
      <text>
        <t xml:space="preserve">Timed out</t>
      </text>
    </comment>
    <comment authorId="0" ref="K79">
      <text>
        <t xml:space="preserve">Never joined. Waited 7 days. Forfeit.</t>
      </text>
    </comment>
    <comment authorId="0" ref="E89">
      <text>
        <t xml:space="preserve">Resigned Age III</t>
      </text>
    </comment>
    <comment authorId="0" ref="E8">
      <text>
        <t xml:space="preserve">Resigned Age III</t>
      </text>
    </comment>
    <comment authorId="0" ref="C54">
      <text>
        <t xml:space="preserve">Resigned Age III</t>
      </text>
    </comment>
    <comment authorId="0" ref="M30">
      <text>
        <t xml:space="preserve">Resigned Age II</t>
      </text>
    </comment>
    <comment authorId="0" ref="O32">
      <text>
        <t xml:space="preserve">Resigned Age III</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(e.g. if 31 plyrs, Lg 2-1, 2-2, 3-1 have 8 plyrs instead of 7)</t>
      </text>
    </comment>
  </commentList>
</comments>
</file>

<file path=xl/sharedStrings.xml><?xml version="1.0" encoding="utf-8"?>
<sst xmlns="http://schemas.openxmlformats.org/spreadsheetml/2006/main" count="822" uniqueCount="405">
  <si>
    <t>TOURNAMENT RULES</t>
  </si>
  <si>
    <t>(see "Player Responsibility" below to see what's required)</t>
  </si>
  <si>
    <t>Tournament structure</t>
  </si>
  <si>
    <t>DIVISION 1</t>
  </si>
  <si>
    <t>(Adopted from TM Tours)</t>
  </si>
  <si>
    <t>•The tournament consists of divisions and each division contains a number of leagues.</t>
  </si>
  <si>
    <t>•There is one league in the first (top) division, two in the second, increasing by the fibonacci sequence (1,2,3,5,8,13,etc).</t>
  </si>
  <si>
    <t>Instructions to the admin for starting a new season  =)</t>
  </si>
  <si>
    <t>•Each league normally consists of seven players. Some of the lowest leagues may contain eight or nine, if the number of signed up players for a season is not divisible by seven.</t>
  </si>
  <si>
    <t>League play</t>
  </si>
  <si>
    <t>**  LEAGUE 1-1  **</t>
  </si>
  <si>
    <t>•Each player will play four 4-player games and three 3-player games (7 total games), over four months (3 seasons per year)</t>
  </si>
  <si>
    <t>•Players start exactly one game every Sunday for seven consecutive weeks.</t>
  </si>
  <si>
    <t>•Every player in a league will meet everyone else exactly three times (twice in 4-player games; once in 3-player games)</t>
  </si>
  <si>
    <t>•Note: in eight and nine player leagues it is impossible to meet eveyrone 3 times. Each player still plays 7 games, but over 8 weeks.</t>
  </si>
  <si>
    <t xml:space="preserve">Tiebreakers  </t>
  </si>
  <si>
    <t>Scoring</t>
  </si>
  <si>
    <t>The scoring depends solely on final positions in the games. Each position scores the following amount of points:</t>
  </si>
  <si>
    <t>4-player</t>
  </si>
  <si>
    <t>Lg 1-1</t>
  </si>
  <si>
    <t>Complete in order:</t>
  </si>
  <si>
    <t>3-player</t>
  </si>
  <si>
    <t>1st = 6 points</t>
  </si>
  <si>
    <t>1st = 5 points</t>
  </si>
  <si>
    <t>Pts</t>
  </si>
  <si>
    <t>2nd = 3 points</t>
  </si>
  <si>
    <t>START!!</t>
  </si>
  <si>
    <t>2nd = 2 points</t>
  </si>
  <si>
    <t>3rd = 1 point</t>
  </si>
  <si>
    <t>3rd = 0 points</t>
  </si>
  <si>
    <t>4th = 0 points</t>
  </si>
  <si>
    <t>Each season starts on the first Sunday of these months: Jan, May, Sep (4 months per season, exactly 3 seasons per year)</t>
  </si>
  <si>
    <t>Avg</t>
  </si>
  <si>
    <t>•If several players finish in the same position in a game, they split the points for the positions between them.</t>
  </si>
  <si>
    <t>1st</t>
  </si>
  <si>
    <t>Example: If two players share the second position (4p), they will both get 2 points.</t>
  </si>
  <si>
    <t>2nd</t>
  </si>
  <si>
    <t>3rd</t>
  </si>
  <si>
    <t>4th</t>
  </si>
  <si>
    <r>
      <rPr/>
      <t xml:space="preserve">•Games unfinished by the sign-up deadline of the next season will report the current "in-game scores" (e.g. in age III) and score </t>
    </r>
    <r>
      <rPr>
        <b/>
        <u/>
      </rPr>
      <t>half</t>
    </r>
    <r>
      <rPr/>
      <t xml:space="preserve"> the normal "standings points", with last place going </t>
    </r>
    <r>
      <rPr>
        <b/>
        <u/>
      </rPr>
      <t>negative</t>
    </r>
    <r>
      <rPr/>
      <t xml:space="preserve"> a half point:</t>
    </r>
  </si>
  <si>
    <t>4 Player: 3 &lt;&gt; 1.5 &lt;&gt; 0.5 &lt;&gt; -0.5</t>
  </si>
  <si>
    <t>(if needed - i.e. to determine promotion/relegation)</t>
  </si>
  <si>
    <r>
      <rPr/>
      <t xml:space="preserve">Copy "End List" of players from </t>
    </r>
    <r>
      <rPr>
        <u/>
      </rPr>
      <t>prior season</t>
    </r>
    <r>
      <rPr/>
      <t>. Paste (value only) this in tab "Start List", column "Loading List"</t>
    </r>
  </si>
  <si>
    <t>3 Player: 2.5 &lt;&gt; 1 &lt;&gt; -0.5</t>
  </si>
  <si>
    <t>Game Rules</t>
  </si>
  <si>
    <t>•Sign-up in the FB group: Through the Ages: A New Story of Civilization International Championship</t>
  </si>
  <si>
    <t>•All games to be played in the official TTA app. (also steam?)</t>
  </si>
  <si>
    <t>•Digital rules (not table top)</t>
  </si>
  <si>
    <t>Finalize list of entrants</t>
  </si>
  <si>
    <t>•Clock: default async (24 hr per move)</t>
  </si>
  <si>
    <t>Promotion / Relegation</t>
  </si>
  <si>
    <t>a</t>
  </si>
  <si>
    <t>Leaving players: Anyone not returning gets deleted from the "Loading List", leaving an empty cell where their name used to be.</t>
  </si>
  <si>
    <t>b</t>
  </si>
  <si>
    <t>Returning entrants (who skipped last season): Enter same level (and never higher) as most recent season played by filling gaps left in step 2-a. If no gaps to fill, they are moved down 1 division level, and all others will move down accordingly.</t>
  </si>
  <si>
    <t>•The general idea is that players who finish first in their leagues will get promoted while players finishing 6th or 7th in their leagues will get relegated. The promotion / relegation algorithm also takes the following into account:</t>
  </si>
  <si>
    <t>LeonC</t>
  </si>
  <si>
    <t>•Players who drop out. Players who do not sign up for the next season will leave empty slots in the league system.</t>
  </si>
  <si>
    <t>•Returning players. A "returning player" is a player who is signed up for the next season and has played in a previous season but not in the last one.</t>
  </si>
  <si>
    <t>•Empty slots will be filled by returning players. A returning player may not, however, fill an empty slot higher in the league system than the player finished on the last season he/she played. If an empty slot can not be filled by a returning player, it will be filled by moving all lower ranked players upwards.</t>
  </si>
  <si>
    <t>•Wild Card (WC): Some divisions will have one or more wild cards. These are players who finished 2nd in their division, but higher than other 2nds across their whole division. They are promoted to fill relegation spots in the above division.</t>
  </si>
  <si>
    <t>c</t>
  </si>
  <si>
    <t>If applicable, remove any remaining gaps by sliding all players up to fill the empty slots.</t>
  </si>
  <si>
    <t>•The most a returning player can fall (from most recent active season) is one division. Should there still be no empty slots, a 5th place will fall one division (similar to a 6th/7th place finisher, or the opposite of a wild card) to make room for the returning player.</t>
  </si>
  <si>
    <t>d</t>
  </si>
  <si>
    <t>New entrants: Add to bottom of "Loading List" (see point 1, above)</t>
  </si>
  <si>
    <t>•If small number of leagues in lowest division: add wild cards to fill relagation slots from next highest division with these rules:</t>
  </si>
  <si>
    <t>e</t>
  </si>
  <si>
    <t>Paste this "Loading List" in the column "Name". The "Standings" and "Schedule" tabs should be completely updated now.</t>
  </si>
  <si>
    <r>
      <rPr/>
      <t xml:space="preserve">*a* Only give at most 1 </t>
    </r>
    <r>
      <rPr>
        <u/>
      </rPr>
      <t>more</t>
    </r>
    <r>
      <rPr/>
      <t xml:space="preserve"> promotion vs other leagues in div.</t>
    </r>
  </si>
  <si>
    <t>gm 1a</t>
  </si>
  <si>
    <r>
      <rPr/>
      <t xml:space="preserve">*b* Never promote </t>
    </r>
    <r>
      <rPr>
        <u/>
      </rPr>
      <t>more than</t>
    </r>
    <r>
      <rPr/>
      <t> half of players from one league.</t>
    </r>
  </si>
  <si>
    <t>Player Responsibility</t>
  </si>
  <si>
    <t>f</t>
  </si>
  <si>
    <t>gm 2a</t>
  </si>
  <si>
    <t>Note: for scaling (having 8 or 9 in one division) the "Standings" and "Schedule" will have to be altered to reflect the correct number and scheduling for the affected divisions.</t>
  </si>
  <si>
    <t>gm 3a</t>
  </si>
  <si>
    <r>
      <rPr>
        <b/>
        <u/>
      </rPr>
      <t>Creating/joining games:</t>
    </r>
    <r>
      <rPr>
        <b/>
      </rPr>
      <t xml:space="preserve"> </t>
    </r>
    <r>
      <rPr/>
      <t xml:space="preserve">Every Sunday per the schedule, create your weekly game if </t>
    </r>
    <r>
      <rPr>
        <u/>
      </rPr>
      <t>you are in the top slot for that game on the schedule.</t>
    </r>
    <r>
      <rPr/>
      <t xml:space="preserve"> (ensure it has not already been created by someone else) OK for anyone to create the game, even a day early (e.g. if you are unavailable all day Sunday). </t>
    </r>
    <r>
      <rPr>
        <b/>
      </rPr>
      <t>Note:</t>
    </r>
    <r>
      <rPr/>
      <t xml:space="preserve"> Everyone is scheduled to create exactly one 4p game, and one 3p game. </t>
    </r>
  </si>
  <si>
    <t>gm 4a</t>
  </si>
  <si>
    <t>"Standings" tab: Need to copy and "paste values only" all names in divisions (to break the formula that drew the names from the "Start List"). (can do one entire column at a time)</t>
  </si>
  <si>
    <t>gm 5a</t>
  </si>
  <si>
    <r>
      <rPr/>
      <t xml:space="preserve">•Label the game your League number (see </t>
    </r>
    <r>
      <rPr>
        <b/>
        <u/>
      </rPr>
      <t>Standings</t>
    </r>
    <r>
      <rPr/>
      <t xml:space="preserve">) and the game name from the </t>
    </r>
    <r>
      <rPr>
        <b/>
        <u/>
      </rPr>
      <t>Schedule</t>
    </r>
    <r>
      <rPr/>
      <t xml:space="preserve"> (e.g. Lg 3-1 gm 2a)</t>
    </r>
  </si>
  <si>
    <t>gm 6a</t>
  </si>
  <si>
    <t>•Reserve seats for other players (close 4th seat if 3p game)</t>
  </si>
  <si>
    <t>"Schedule" tab: Similar to step 3 above, need to copy and "paste values only" all names in the schedule under the first game only (columb B). Also update first date and all should auto-fill.</t>
  </si>
  <si>
    <t>•Digital rules, default async, auto start.</t>
  </si>
  <si>
    <t>gm 7a</t>
  </si>
  <si>
    <t>If game is already created, simply join it.</t>
  </si>
  <si>
    <t>"End List" tab: never edit this tab. It is used to copy this list and paste into next season as a starting point (see point 1, above and also 2-f, for scaling).</t>
  </si>
  <si>
    <r>
      <rPr>
        <b/>
        <u/>
      </rPr>
      <t>Posting game results:</t>
    </r>
    <r>
      <rPr>
        <b/>
      </rPr>
      <t xml:space="preserve"> </t>
    </r>
    <r>
      <rPr/>
      <t>Upon completion, winner must "share" the final score of the completed game on the pinned anouncement for the season. Admin will log the result in google sheets. Please refrain from adding other new comments ("replying" to a game result pic is OK). If you have a question, please start a new post on the FB page, or PM the admin (Jon Cleek - Season 4).</t>
    </r>
  </si>
  <si>
    <t>**  Setup Complete  **  Season Begins  **</t>
  </si>
  <si>
    <r>
      <rPr>
        <b/>
        <u/>
      </rPr>
      <t xml:space="preserve">User: </t>
    </r>
    <r>
      <rPr/>
      <t xml:space="preserve">May only have 1 account in the tournament per season. </t>
    </r>
  </si>
  <si>
    <r>
      <rPr>
        <b/>
        <u/>
      </rPr>
      <t>Sportsmanship and Best play:</t>
    </r>
    <r>
      <rPr/>
      <t xml:space="preserve"> Simply, try to do well. But, of course, feel free to try new strategies/experiment. Do not purposefully lose to help someone else or for any other reason (e.g. no attacking others/resigning to help a friend, no declaring wars and then disbanding all military units). If you feel you will finish last, and don't want to try anymore, please resign.</t>
    </r>
  </si>
  <si>
    <t>"Schedule" tab - how to update:</t>
  </si>
  <si>
    <r>
      <rPr>
        <b/>
        <u/>
      </rPr>
      <t>Strikes:</t>
    </r>
    <r>
      <rPr>
        <b val="0"/>
        <u/>
      </rPr>
      <t xml:space="preserve"> (note: strikes are hopefully rarely, or even never, given out. They are here to promote a fun, orderly, fair place for all to play)</t>
    </r>
  </si>
  <si>
    <t>For each completed game, put the scores next to the appropriate player. For resignations, give the player 10 points less than the player one place higher (this is important if the "percentage of winning score" tiebreaker is usded). Running out of time (i.e. time out) is a forfeit and receives a score of zero.</t>
  </si>
  <si>
    <t>•Strikes accumulate and are received when a penalty is given.</t>
  </si>
  <si>
    <t>•If 3 or more strikes are accumulated, player must sit out next season.</t>
  </si>
  <si>
    <t>"Standings" tab - how to update:</t>
  </si>
  <si>
    <t>•Sitting out 1 season will remove 1 strike from your total.</t>
  </si>
  <si>
    <t>For each finished game, add 1 to the finishing rank that corresponds to each player. The "Pts" and "Avg" columns will update automatically.</t>
  </si>
  <si>
    <t>Types of Strikes:</t>
  </si>
  <si>
    <t>Palino</t>
  </si>
  <si>
    <r>
      <rPr>
        <b/>
        <u/>
      </rPr>
      <t>Sort:</t>
    </r>
    <r>
      <rPr/>
      <t xml:space="preserve"> Select all 7 names, and drag to include all the game columns (i.e. 3rd place 3p game). Right-click, sort. Then select Z to A (highest to lowest) and by the "Avg" column. </t>
    </r>
  </si>
  <si>
    <t>Re-score all games using +1 format (e.g. 3,2,1,0 for 4p and 2,1,0 for 3p games) Higher score wins tiebreaker.</t>
  </si>
  <si>
    <t>AaronGreen</t>
  </si>
  <si>
    <r>
      <rPr>
        <b/>
      </rPr>
      <t>Ties:</t>
    </r>
    <r>
      <rPr/>
      <t xml:space="preserve"> If players tie, add 1, split equally between the number of shared positions, for each player. (Example 1: if a two way tie for first, add 0.5 to both the 1st and 2nd place columns for both players. Example 2: if a 3-way tie for last (4p game), add 0.333 to the 2nd, 3rd, and 4th columns for all 3 players that tied)</t>
    </r>
  </si>
  <si>
    <t>•Failing to join a game by Tue (if it is brought to admin's attention on Monday, and the game is still in the queue on Tue, late player receives 1 strike. An additional strike is given for each subsequent day the game has not started.</t>
  </si>
  <si>
    <t>•3 strikes: if proven that player used more than 1 account in any given season</t>
  </si>
  <si>
    <t>•3 strikes: if proven that player was not adhering to the "Sportsmanship and Best play" standards.</t>
  </si>
  <si>
    <t>**  Season End  **</t>
  </si>
  <si>
    <t>•1 strike: for running out of time, and therefore forfeiting a game. You also receive 0 pts in the standings for that game.</t>
  </si>
  <si>
    <t>BlixLT</t>
  </si>
  <si>
    <t>Head-to-Head: For games tied players met, remove all others. Player with more wins, wins tiebreaker.</t>
  </si>
  <si>
    <t>•Strike: anything else the group votes to be counted as a strike, even if voted retroactively.</t>
  </si>
  <si>
    <t>Sort all Divisions:</t>
  </si>
  <si>
    <t>Toper</t>
  </si>
  <si>
    <t>Select a Div (be sure it's all 7 rows of names and all 9 columns of data: names through final 3p slot)</t>
  </si>
  <si>
    <t>Right click highlighted cells, select sort, choose descending (highest on top) by the column labeled "Pts"</t>
  </si>
  <si>
    <t>Strength of Schedule (N/A for 7p divisions, since everyone plays everyone equal times)</t>
  </si>
  <si>
    <t>This will now automatically reflect in the "End List" for next season. (see point 2-f, scaling, to ensure the "End List" properly reflects divisions with more than 7 players)</t>
  </si>
  <si>
    <t xml:space="preserve">Add up total points in Standings of all opponents (doubling/tripling if you met twice/thrice). </t>
  </si>
  <si>
    <t>JCleek</t>
  </si>
  <si>
    <t>Higher points = tougher schedule and wins tiebreaker.</t>
  </si>
  <si>
    <t>Grogmir</t>
  </si>
  <si>
    <t>gm 1b</t>
  </si>
  <si>
    <t>Percent of winning score: Divide player score by top score of each game. Add up all 7. Higher number wins.</t>
  </si>
  <si>
    <t>gm 2b</t>
  </si>
  <si>
    <t>gm 3b</t>
  </si>
  <si>
    <t>gm 4b</t>
  </si>
  <si>
    <t>gm 5b</t>
  </si>
  <si>
    <t>gm 6b</t>
  </si>
  <si>
    <t>Coin flip</t>
  </si>
  <si>
    <t>gm 7b</t>
  </si>
  <si>
    <t>Complete</t>
  </si>
  <si>
    <t>Note:</t>
  </si>
  <si>
    <t>For more than 2 players: include all players until ONE is eliminated. Start back at #1 with remaining players.</t>
  </si>
  <si>
    <t>DIVISION 2</t>
  </si>
  <si>
    <t>(2 Leagues - No Wild Card)</t>
  </si>
  <si>
    <t>Lg 2-1</t>
  </si>
  <si>
    <t>Lg 2-2</t>
  </si>
  <si>
    <t>Frotes</t>
  </si>
  <si>
    <t>**  LEAGUE 2-1  **</t>
  </si>
  <si>
    <t>ChipsAhoya</t>
  </si>
  <si>
    <t>FlyingDutchman</t>
  </si>
  <si>
    <t>Aquir</t>
  </si>
  <si>
    <t>GregoryD</t>
  </si>
  <si>
    <t>qhung49</t>
  </si>
  <si>
    <t>albinsix</t>
  </si>
  <si>
    <t>nachof</t>
  </si>
  <si>
    <t>Wartin</t>
  </si>
  <si>
    <t>jamiu5</t>
  </si>
  <si>
    <t>Andras</t>
  </si>
  <si>
    <t>norkle</t>
  </si>
  <si>
    <t>Cefrebunda</t>
  </si>
  <si>
    <t>Greenilocks</t>
  </si>
  <si>
    <t>DIVISION 3</t>
  </si>
  <si>
    <t>(3 Leagues - 1 Wild Card)</t>
  </si>
  <si>
    <t>Lg 3-1</t>
  </si>
  <si>
    <t>Lg 3-2</t>
  </si>
  <si>
    <t>Lg 3-3</t>
  </si>
  <si>
    <t>pajada</t>
  </si>
  <si>
    <t>JeremyBrokaw</t>
  </si>
  <si>
    <t>hihihiji</t>
  </si>
  <si>
    <t>swxnw</t>
  </si>
  <si>
    <t>invalidName</t>
  </si>
  <si>
    <t>Woodenman</t>
  </si>
  <si>
    <t>PhiTrigger</t>
  </si>
  <si>
    <t>takusto_ii</t>
  </si>
  <si>
    <t>**  LEAGUE 2-2  **</t>
  </si>
  <si>
    <t>Circadia</t>
  </si>
  <si>
    <t>bcnoexceptions</t>
  </si>
  <si>
    <t>Ivantz</t>
  </si>
  <si>
    <t>Werlix</t>
  </si>
  <si>
    <t>FabioMP</t>
  </si>
  <si>
    <t>Rollduptrips</t>
  </si>
  <si>
    <t>funkenschlag</t>
  </si>
  <si>
    <t>nasing</t>
  </si>
  <si>
    <t>checkmate4200</t>
  </si>
  <si>
    <t>Fad23</t>
  </si>
  <si>
    <t>rporrini</t>
  </si>
  <si>
    <t>demianv</t>
  </si>
  <si>
    <t>Flynn</t>
  </si>
  <si>
    <t>DIVISION 4</t>
  </si>
  <si>
    <t>(Only 2 Leagues - 3 promoted from each league)</t>
  </si>
  <si>
    <t>Lg 4-1</t>
  </si>
  <si>
    <t>Lg 4-2</t>
  </si>
  <si>
    <t>robster</t>
  </si>
  <si>
    <t>DrRerNate</t>
  </si>
  <si>
    <t>Pandaiga</t>
  </si>
  <si>
    <t>JimmyLin</t>
  </si>
  <si>
    <t>Thomas91</t>
  </si>
  <si>
    <t>Sjir</t>
  </si>
  <si>
    <t>Chul</t>
  </si>
  <si>
    <t>kissfish</t>
  </si>
  <si>
    <t>Monik</t>
  </si>
  <si>
    <t>BillyPilgrim</t>
  </si>
  <si>
    <t>12thManStanding</t>
  </si>
  <si>
    <t>Peaceminusone</t>
  </si>
  <si>
    <t>Eroticus</t>
  </si>
  <si>
    <t>Backburner</t>
  </si>
  <si>
    <t>**  LEAGUE 3-1  **</t>
  </si>
  <si>
    <t>**  LEAGUE 3-2  **</t>
  </si>
  <si>
    <t>**  LEAGUE 3-3  **</t>
  </si>
  <si>
    <t>Rank</t>
  </si>
  <si>
    <t>Name</t>
  </si>
  <si>
    <t>League
Place
(prior
season)</t>
  </si>
  <si>
    <t xml:space="preserve">This
season
(League)
</t>
  </si>
  <si>
    <t>Loading
List
(user name)</t>
  </si>
  <si>
    <t>Facebook
Name</t>
  </si>
  <si>
    <t>1-1-1</t>
  </si>
  <si>
    <t>1-1</t>
  </si>
  <si>
    <t>Chen Yenjung</t>
  </si>
  <si>
    <t>S2 - 1st</t>
  </si>
  <si>
    <t>1-1-2</t>
  </si>
  <si>
    <t>Palo Kaiser</t>
  </si>
  <si>
    <t>S2 - 2nd</t>
  </si>
  <si>
    <t>1-1-3</t>
  </si>
  <si>
    <t>Martynas Limontas</t>
  </si>
  <si>
    <t>S2 - 3rd</t>
  </si>
  <si>
    <t>1-1-4</t>
  </si>
  <si>
    <t>Aaron Green</t>
  </si>
  <si>
    <t>S2 - 4th</t>
  </si>
  <si>
    <t>1-1-5</t>
  </si>
  <si>
    <t>Chris Maloof</t>
  </si>
  <si>
    <t>S1 - 2nd</t>
  </si>
  <si>
    <t>2-1-1</t>
  </si>
  <si>
    <t>Jon Cleek</t>
  </si>
  <si>
    <t>S2 - 6th</t>
  </si>
  <si>
    <t>2-2-1</t>
  </si>
  <si>
    <t>Krzysiek Pytlak</t>
  </si>
  <si>
    <t>S2 - 7th</t>
  </si>
  <si>
    <t>1-1-6</t>
  </si>
  <si>
    <t>Jack Liu</t>
  </si>
  <si>
    <t>S2 - 8th</t>
  </si>
  <si>
    <t>1-1-7</t>
  </si>
  <si>
    <t>Hung Mai</t>
  </si>
  <si>
    <t>S2 - 9th</t>
  </si>
  <si>
    <t>3-1-1</t>
  </si>
  <si>
    <t>Tamas Fekete</t>
  </si>
  <si>
    <t>S2 - 10th</t>
  </si>
  <si>
    <t>3-2-1</t>
  </si>
  <si>
    <t>Florian Ergang</t>
  </si>
  <si>
    <t>S2 - 11th (tied)</t>
  </si>
  <si>
    <t>3-3-1</t>
  </si>
  <si>
    <t>Grzegorz Dorozik</t>
  </si>
  <si>
    <t>3-1-2 (WC)</t>
  </si>
  <si>
    <t>James Siqueira</t>
  </si>
  <si>
    <t>S2 - 13th (tied) </t>
  </si>
  <si>
    <t>2-1-2</t>
  </si>
  <si>
    <t>Eric Rodawig</t>
  </si>
  <si>
    <t>2-2-2</t>
  </si>
  <si>
    <t>Martin Havrila</t>
  </si>
  <si>
    <t>S2 - 15th</t>
  </si>
  <si>
    <t>2-1-3</t>
  </si>
  <si>
    <t>Gyurefi Andras</t>
  </si>
  <si>
    <t>S2 - 17th</t>
  </si>
  <si>
    <t>2-2-3</t>
  </si>
  <si>
    <t>Nacho Facello</t>
  </si>
  <si>
    <t>S2 - 18th</t>
  </si>
  <si>
    <t>2-1-4</t>
  </si>
  <si>
    <t>Gerard Sweeney</t>
  </si>
  <si>
    <t>S2 - 19th</t>
  </si>
  <si>
    <t>2-2-4</t>
  </si>
  <si>
    <t>Papp Istvan</t>
  </si>
  <si>
    <t>S2 - 20th</t>
  </si>
  <si>
    <t>2-1-5</t>
  </si>
  <si>
    <t>Alexis Sabin</t>
  </si>
  <si>
    <t>S2 - 21st</t>
  </si>
  <si>
    <t>2-2-5</t>
  </si>
  <si>
    <t>Norkle Larfin-snarf</t>
  </si>
  <si>
    <t>S2 - 23rd</t>
  </si>
  <si>
    <t>2-1-6</t>
  </si>
  <si>
    <t>Fabio Milito Pagliara</t>
  </si>
  <si>
    <t>S2 - 24th</t>
  </si>
  <si>
    <t>2-2-6</t>
  </si>
  <si>
    <t>Inco Planje</t>
  </si>
  <si>
    <t>S2 - 26th</t>
  </si>
  <si>
    <t>2-1-7</t>
  </si>
  <si>
    <t>Roland Tiba</t>
  </si>
  <si>
    <t>S2 - 27th</t>
  </si>
  <si>
    <t>2-2-7</t>
  </si>
  <si>
    <t>Alb Levente</t>
  </si>
  <si>
    <t>S2 - 28th</t>
  </si>
  <si>
    <t>4-1-1</t>
  </si>
  <si>
    <t>Demian Vanderputten</t>
  </si>
  <si>
    <t>S2 - 29th</t>
  </si>
  <si>
    <t>4-2-1</t>
  </si>
  <si>
    <t>Raffaele Porrini</t>
  </si>
  <si>
    <t>S2 - 31st</t>
  </si>
  <si>
    <t>4-3-1</t>
  </si>
  <si>
    <t>BC Monoceros</t>
  </si>
  <si>
    <t>N/A - Rank 36</t>
  </si>
  <si>
    <t>4-4-1</t>
  </si>
  <si>
    <t>Simen Mikkelsen</t>
  </si>
  <si>
    <t>N/A - Rank 35</t>
  </si>
  <si>
    <t>4-5-1</t>
  </si>
  <si>
    <t>Sam Burdock</t>
  </si>
  <si>
    <t>N/A - Rank 32</t>
  </si>
  <si>
    <t>4-1-2 (WC)</t>
  </si>
  <si>
    <t>Neil Figuracion</t>
  </si>
  <si>
    <t>3-2-2</t>
  </si>
  <si>
    <t>Jeremy Brokaw</t>
  </si>
  <si>
    <t>N/A - Rank 31</t>
  </si>
  <si>
    <t>3-3-2</t>
  </si>
  <si>
    <t>Brent Celmins</t>
  </si>
  <si>
    <t>3-1-3</t>
  </si>
  <si>
    <t>Andrew Norgren</t>
  </si>
  <si>
    <t>N/A - Rank 30</t>
  </si>
  <si>
    <t>3-2-3</t>
  </si>
  <si>
    <t>Takao Hyakutome</t>
  </si>
  <si>
    <t>3-3-3</t>
  </si>
  <si>
    <t>Phillip Wood</t>
  </si>
  <si>
    <t>N/A - Rank 29</t>
  </si>
  <si>
    <t>3-1-4</t>
  </si>
  <si>
    <t>Andy Richdale</t>
  </si>
  <si>
    <t>N/A - Rank 28</t>
  </si>
  <si>
    <t>3-2-4</t>
  </si>
  <si>
    <t>Randy Ohel</t>
  </si>
  <si>
    <t>N/A - Rank 26</t>
  </si>
  <si>
    <t>3-3-4</t>
  </si>
  <si>
    <t>Pavel Ceska</t>
  </si>
  <si>
    <t>3-1-5</t>
  </si>
  <si>
    <t>Bernard Shu</t>
  </si>
  <si>
    <t>3-2-5</t>
  </si>
  <si>
    <t>Ivan Cardenas</t>
  </si>
  <si>
    <t>N/A - Rank 23</t>
  </si>
  <si>
    <t>3-3-5</t>
  </si>
  <si>
    <t>Michael Tse</t>
  </si>
  <si>
    <t>Robin Van Dalen</t>
  </si>
  <si>
    <t>Division -
Place</t>
  </si>
  <si>
    <t>Hoeijmakers</t>
  </si>
  <si>
    <t>N/A - Rank 20</t>
  </si>
  <si>
    <t>Next
Seas
Div</t>
  </si>
  <si>
    <t>Amy (Wes) Bandy</t>
  </si>
  <si>
    <t>N/A - Rank 17</t>
  </si>
  <si>
    <t>Ordering
Rules:</t>
  </si>
  <si>
    <t>Laimonas Urbutis</t>
  </si>
  <si>
    <t>N/A - Rank 16</t>
  </si>
  <si>
    <t>Ghengis Coin</t>
  </si>
  <si>
    <t>N/A - Rank 15</t>
  </si>
  <si>
    <t>林俊吉</t>
  </si>
  <si>
    <t>Shikamaru Kepin</t>
  </si>
  <si>
    <t>Thomas de Bel</t>
  </si>
  <si>
    <t>•Starting at the top, all divisions will have exactly 7 players. Bottom divisions may have 8 or 9 to accomodate a season with total players a non multiple of 7.</t>
  </si>
  <si>
    <t>Colin Bowler</t>
  </si>
  <si>
    <t>N/A - Rank 13</t>
  </si>
  <si>
    <t>John Smith</t>
  </si>
  <si>
    <t>N/A - Rank 11</t>
  </si>
  <si>
    <t>Samah Abdel Khalek</t>
  </si>
  <si>
    <t>Erot Igore</t>
  </si>
  <si>
    <t>N/A - Rank 5</t>
  </si>
  <si>
    <t>Jonas Larsen</t>
  </si>
  <si>
    <t>**  LEAGUE 4-1  **</t>
  </si>
  <si>
    <t>Nate Wasser</t>
  </si>
  <si>
    <t>N/A - Rank 1</t>
  </si>
  <si>
    <t>•Player can never move two divisions up or down in a single season.</t>
  </si>
  <si>
    <t>•Relegated players: bottom two in league will always fall exactly one division.</t>
  </si>
  <si>
    <t>•Promoted players: league winner (and wild card if applicable, e.g. Division 3) will always move up exactly one division.</t>
  </si>
  <si>
    <t>•Middle players (neither promoted nor demoted): stay in same division unless, due to players leaving, should move up (similar to a wild card). If too many returning players, a middle player can be relagated.</t>
  </si>
  <si>
    <t>4-2-2</t>
  </si>
  <si>
    <t>4-3-2</t>
  </si>
  <si>
    <t>**  LEAGUE 4-2  **</t>
  </si>
  <si>
    <t>4-4-2</t>
  </si>
  <si>
    <t>4-5-2</t>
  </si>
  <si>
    <t>4-1-3</t>
  </si>
  <si>
    <t>4-2-3</t>
  </si>
  <si>
    <t>4-3-3</t>
  </si>
  <si>
    <t>4-4-3</t>
  </si>
  <si>
    <t>4-5-3</t>
  </si>
  <si>
    <t>4-1-4</t>
  </si>
  <si>
    <t>4-2-4</t>
  </si>
  <si>
    <t>4-3-4</t>
  </si>
  <si>
    <t>4-4-4</t>
  </si>
  <si>
    <t>4-5-4</t>
  </si>
  <si>
    <t>3-1-6</t>
  </si>
  <si>
    <t>3-2-6</t>
  </si>
  <si>
    <t>3-3-6</t>
  </si>
  <si>
    <t>3-1-7</t>
  </si>
  <si>
    <t>3-2-7</t>
  </si>
  <si>
    <t>3-3-7</t>
  </si>
  <si>
    <t>5-1-1</t>
  </si>
  <si>
    <t>5-2-1</t>
  </si>
  <si>
    <t>5-3-1</t>
  </si>
  <si>
    <t>5-4-1</t>
  </si>
  <si>
    <t>5-5-1</t>
  </si>
  <si>
    <t>5-6-1</t>
  </si>
  <si>
    <t>5-7-1</t>
  </si>
  <si>
    <t>5-8-1</t>
  </si>
  <si>
    <t>5-1-2 (WC)</t>
  </si>
  <si>
    <t>5-2-2 (WC)</t>
  </si>
  <si>
    <t>4-1-5</t>
  </si>
  <si>
    <t>4-2-5</t>
  </si>
  <si>
    <t>4-3-5</t>
  </si>
  <si>
    <t>4-4-5</t>
  </si>
  <si>
    <t>4-5-5</t>
  </si>
  <si>
    <t>5-2-3</t>
  </si>
  <si>
    <t>etc...</t>
  </si>
  <si>
    <t>Scaling to accomodate numbers not divisible by 7</t>
  </si>
  <si>
    <t>Total
plyrs</t>
  </si>
  <si>
    <t>Adjustments (i.e. add "x" to a League)</t>
  </si>
  <si>
    <t>Rules: (add in this order, as needed, until maxed, then continue to next step)</t>
  </si>
  <si>
    <t>+1 to all lowest level divisions.</t>
  </si>
  <si>
    <t>+2 to all lowest level divisions.</t>
  </si>
  <si>
    <t>+1 to ALL (if possible) divisions one level higher, with remaining extras added to lowest level divisions.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</si>
</sst>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
    <numFmt numFmtId="165" formatCode="d&quot;-&quot;mmm&quot;-&quot;yyyy"/>
    <numFmt numFmtId="166" formatCode="#,##0.0"/>
    <numFmt numFmtId="167" formatCode="d-mmm-yyyy"/>
    <numFmt numFmtId="168" formatCode="0.0"/>
  </numFmts>
  <fonts count="24">
    <font>
      <sz val="10.0"/>
      <color rgb="FF000000"/>
      <name val="Arial"/>
    </font>
    <font>
      <b/>
    </font>
    <font>
      <b/>
      <u/>
      <sz val="18.0"/>
    </font>
    <font/>
    <font>
      <u/>
      <sz val="14.0"/>
    </font>
    <font>
      <b/>
      <u/>
      <sz val="12.0"/>
    </font>
    <font>
      <b/>
      <sz val="11.0"/>
    </font>
    <font>
      <u/>
    </font>
    <font>
      <b/>
      <u/>
      <sz val="12.0"/>
      <color rgb="FFFFFFFF"/>
    </font>
    <font>
      <b/>
      <sz val="10.0"/>
    </font>
    <font>
      <color rgb="FF000000"/>
      <name val="Arial"/>
    </font>
    <font>
      <color rgb="FF999999"/>
    </font>
    <font>
      <u/>
      <sz val="14.0"/>
    </font>
    <font>
      <u/>
      <sz val="14.0"/>
    </font>
    <font>
      <b/>
      <u/>
    </font>
    <font>
      <b/>
      <color rgb="FFFFFFFF"/>
    </font>
    <font>
      <b/>
      <sz val="9.0"/>
    </font>
    <font>
      <b/>
      <u/>
      <sz val="12.0"/>
    </font>
    <font>
      <name val="Arial"/>
    </font>
    <font>
      <b/>
      <name val="Arial"/>
    </font>
    <font>
      <b/>
      <u/>
      <sz val="12.0"/>
      <color rgb="FFFFFFFF"/>
    </font>
    <font>
      <b/>
      <u/>
      <sz val="12.0"/>
      <color rgb="FFFFFFFF"/>
    </font>
    <font>
      <i/>
    </font>
    <font>
      <u/>
      <sz val="12.0"/>
    </font>
  </fonts>
  <fills count="13">
    <fill>
      <patternFill patternType="none"/>
    </fill>
    <fill>
      <patternFill patternType="lightGray"/>
    </fill>
    <fill>
      <patternFill patternType="solid">
        <fgColor rgb="FFFFFFFF"/>
        <bgColor rgb="FFFFFFFF"/>
      </patternFill>
    </fill>
    <fill>
      <patternFill patternType="solid">
        <fgColor rgb="FFD9D2E9"/>
        <bgColor rgb="FFD9D2E9"/>
      </patternFill>
    </fill>
    <fill>
      <patternFill patternType="solid">
        <fgColor rgb="FFCCCCCC"/>
        <bgColor rgb="FFCCCCCC"/>
      </patternFill>
    </fill>
    <fill>
      <patternFill patternType="solid">
        <fgColor rgb="FF434343"/>
        <bgColor rgb="FF434343"/>
      </patternFill>
    </fill>
    <fill>
      <patternFill patternType="solid">
        <fgColor rgb="FFCFE2F3"/>
        <bgColor rgb="FFCFE2F3"/>
      </patternFill>
    </fill>
    <fill>
      <patternFill patternType="solid">
        <fgColor rgb="FFD9EAD3"/>
        <bgColor rgb="FFD9EAD3"/>
      </patternFill>
    </fill>
    <fill>
      <patternFill patternType="solid">
        <fgColor rgb="FFFCE5CD"/>
        <bgColor rgb="FFFCE5CD"/>
      </patternFill>
    </fill>
    <fill>
      <patternFill patternType="solid">
        <fgColor rgb="FFFFF2CC"/>
        <bgColor rgb="FFFFF2CC"/>
      </patternFill>
    </fill>
    <fill>
      <patternFill patternType="solid">
        <fgColor rgb="FFE6B8AF"/>
        <bgColor rgb="FFE6B8AF"/>
      </patternFill>
    </fill>
    <fill>
      <patternFill patternType="solid">
        <fgColor rgb="FFEAD1DC"/>
        <bgColor rgb="FFEAD1DC"/>
      </patternFill>
    </fill>
    <fill>
      <patternFill patternType="solid">
        <fgColor rgb="FFC9DAF8"/>
        <bgColor rgb="FFC9DAF8"/>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right style="thin">
        <color rgb="FF000000"/>
      </right>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bottom style="thin">
        <color rgb="FF000000"/>
      </bottom>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0" fillId="2" fontId="1" numFmtId="0" xfId="0" applyAlignment="1" applyFill="1" applyFont="1">
      <alignment horizontal="right"/>
    </xf>
    <xf borderId="0" fillId="2" fontId="2" numFmtId="0" xfId="0" applyAlignment="1" applyFill="1" applyFont="1">
      <alignment readingOrder="0"/>
    </xf>
    <xf borderId="0" fillId="2" fontId="3" numFmtId="0" xfId="0" applyFill="1" applyFont="1"/>
    <xf borderId="0" fillId="3" fontId="1" numFmtId="0" xfId="0" applyAlignment="1" applyFill="1" applyFont="1">
      <alignment readingOrder="0"/>
    </xf>
    <xf borderId="0" fillId="3" fontId="3" numFmtId="0" xfId="0" applyFill="1" applyFont="1"/>
    <xf borderId="0" fillId="2" fontId="4" numFmtId="0" xfId="0" applyAlignment="1" applyFill="1" applyFont="1">
      <alignment readingOrder="0"/>
    </xf>
    <xf borderId="0" fillId="2" fontId="3" numFmtId="0" xfId="0" applyAlignment="1" applyFill="1" applyFont="1">
      <alignment readingOrder="0"/>
    </xf>
    <xf borderId="0" fillId="0" fontId="1" numFmtId="164" xfId="0" applyAlignment="1" applyFont="1" applyNumberFormat="1">
      <alignment horizontal="right" readingOrder="0"/>
    </xf>
    <xf borderId="0" fillId="2" fontId="3" numFmtId="0" xfId="0" applyAlignment="1" applyFill="1" applyFont="1">
      <alignment readingOrder="0" shrinkToFit="0" vertical="center" wrapText="1"/>
    </xf>
    <xf borderId="0" fillId="0" fontId="1" numFmtId="0" xfId="0" applyAlignment="1" applyFont="1">
      <alignment readingOrder="0"/>
    </xf>
    <xf borderId="0" fillId="4" fontId="5" numFmtId="0" xfId="0" applyAlignment="1" applyFill="1" applyFont="1">
      <alignment horizontal="center" readingOrder="0"/>
    </xf>
    <xf borderId="0" fillId="0" fontId="1" numFmtId="0" xfId="0" applyFont="1"/>
    <xf borderId="1" fillId="3" fontId="1" numFmtId="0" xfId="0" applyAlignment="1" applyBorder="1" applyFill="1" applyFont="1">
      <alignment horizontal="left" readingOrder="0"/>
    </xf>
    <xf borderId="0" fillId="0" fontId="3" numFmtId="0" xfId="0" applyAlignment="1" applyFont="1">
      <alignment readingOrder="0"/>
    </xf>
    <xf borderId="2" fillId="0" fontId="3" numFmtId="0" xfId="0" applyBorder="1" applyFont="1"/>
    <xf borderId="0" fillId="4" fontId="6" numFmtId="0" xfId="0" applyAlignment="1" applyFill="1" applyFont="1">
      <alignment readingOrder="0"/>
    </xf>
    <xf borderId="0" fillId="0" fontId="3" numFmtId="3" xfId="0" applyAlignment="1" applyFont="1" applyNumberFormat="1">
      <alignment readingOrder="0"/>
    </xf>
    <xf borderId="0" fillId="2" fontId="7" numFmtId="0" xfId="0" applyAlignment="1" applyFill="1" applyFont="1">
      <alignment horizontal="center" readingOrder="0"/>
    </xf>
    <xf borderId="1" fillId="5" fontId="8" numFmtId="0" xfId="0" applyAlignment="1" applyBorder="1" applyFill="1" applyFont="1">
      <alignment horizontal="center" readingOrder="0"/>
    </xf>
    <xf borderId="3" fillId="0" fontId="3" numFmtId="0" xfId="0" applyBorder="1" applyFont="1"/>
    <xf borderId="4" fillId="3" fontId="1" numFmtId="0" xfId="0" applyAlignment="1" applyBorder="1" applyFill="1" applyFont="1">
      <alignment horizontal="center" readingOrder="0"/>
    </xf>
    <xf borderId="1" fillId="6" fontId="1" numFmtId="165" xfId="0" applyAlignment="1" applyBorder="1" applyFill="1" applyFont="1" applyNumberFormat="1">
      <alignment horizontal="center" readingOrder="0"/>
    </xf>
    <xf borderId="2" fillId="7" fontId="9" numFmtId="0" xfId="0" applyAlignment="1" applyBorder="1" applyFill="1" applyFont="1">
      <alignment horizontal="center" readingOrder="0"/>
    </xf>
    <xf borderId="0" fillId="0" fontId="3" numFmtId="0" xfId="0" applyAlignment="1" applyFont="1">
      <alignment readingOrder="0" shrinkToFit="0" vertical="center" wrapText="1"/>
    </xf>
    <xf borderId="3" fillId="7" fontId="9" numFmtId="0" xfId="0" applyAlignment="1" applyBorder="1" applyFill="1" applyFont="1">
      <alignment horizontal="center" readingOrder="0"/>
    </xf>
    <xf borderId="1" fillId="8" fontId="9" numFmtId="0" xfId="0" applyAlignment="1" applyBorder="1" applyFill="1" applyFont="1">
      <alignment horizontal="center" readingOrder="0"/>
    </xf>
    <xf borderId="2" fillId="8" fontId="9" numFmtId="0" xfId="0" applyAlignment="1" applyBorder="1" applyFill="1" applyFont="1">
      <alignment horizontal="center" readingOrder="0"/>
    </xf>
    <xf borderId="3" fillId="8" fontId="9" numFmtId="0" xfId="0" applyAlignment="1" applyBorder="1" applyFill="1" applyFont="1">
      <alignment horizontal="center" readingOrder="0"/>
    </xf>
    <xf borderId="0" fillId="2" fontId="10" numFmtId="0" xfId="0" applyAlignment="1" applyFill="1" applyFont="1">
      <alignment horizontal="left" readingOrder="0"/>
    </xf>
    <xf borderId="0" fillId="0" fontId="11" numFmtId="0" xfId="0" applyAlignment="1" applyFont="1">
      <alignment readingOrder="0"/>
    </xf>
    <xf borderId="0" fillId="0" fontId="11" numFmtId="0" xfId="0" applyFont="1"/>
    <xf borderId="0" fillId="2" fontId="12" numFmtId="0" xfId="0" applyAlignment="1" applyFill="1" applyFont="1">
      <alignment readingOrder="0" shrinkToFit="0" vertical="center" wrapText="1"/>
    </xf>
    <xf borderId="5" fillId="0" fontId="3" numFmtId="0" xfId="0" applyBorder="1" applyFont="1"/>
    <xf borderId="0" fillId="0" fontId="3" numFmtId="0" xfId="0" applyAlignment="1" applyFont="1">
      <alignment readingOrder="0" shrinkToFit="0" wrapText="1"/>
    </xf>
    <xf borderId="0" fillId="0" fontId="3" numFmtId="3" xfId="0" applyFont="1" applyNumberFormat="1"/>
    <xf borderId="0" fillId="0" fontId="1" numFmtId="0" xfId="0" applyAlignment="1" applyFont="1">
      <alignment horizontal="right" readingOrder="0"/>
    </xf>
    <xf borderId="1" fillId="0" fontId="1" numFmtId="3" xfId="0" applyAlignment="1" applyBorder="1" applyFont="1" applyNumberFormat="1">
      <alignment horizontal="center" readingOrder="0"/>
    </xf>
    <xf borderId="0" fillId="3" fontId="13" numFmtId="0" xfId="0" applyAlignment="1" applyFill="1" applyFont="1">
      <alignment readingOrder="0" shrinkToFit="0" vertical="center" wrapText="1"/>
    </xf>
    <xf borderId="0" fillId="3" fontId="3" numFmtId="0" xfId="0" applyAlignment="1" applyFill="1" applyFont="1">
      <alignment readingOrder="0" shrinkToFit="0" vertical="center" wrapText="1"/>
    </xf>
    <xf borderId="0" fillId="3" fontId="3" numFmtId="0" xfId="0" applyAlignment="1" applyFill="1" applyFont="1">
      <alignment readingOrder="0"/>
    </xf>
    <xf borderId="0" fillId="0" fontId="1" numFmtId="0" xfId="0" applyAlignment="1" applyFont="1">
      <alignment horizontal="right"/>
    </xf>
    <xf borderId="5" fillId="0" fontId="3" numFmtId="3" xfId="0" applyBorder="1" applyFont="1" applyNumberFormat="1"/>
    <xf borderId="6" fillId="0" fontId="3" numFmtId="3" xfId="0" applyAlignment="1" applyBorder="1" applyFont="1" applyNumberFormat="1">
      <alignment readingOrder="0"/>
    </xf>
    <xf borderId="4" fillId="0" fontId="3" numFmtId="0" xfId="0" applyBorder="1" applyFont="1"/>
    <xf borderId="0" fillId="0" fontId="1" numFmtId="0" xfId="0" applyAlignment="1" applyFont="1">
      <alignment horizontal="center" readingOrder="0"/>
    </xf>
    <xf borderId="5" fillId="0" fontId="3" numFmtId="3" xfId="0" applyAlignment="1" applyBorder="1" applyFont="1" applyNumberFormat="1">
      <alignment readingOrder="0"/>
    </xf>
    <xf borderId="0" fillId="2" fontId="14" numFmtId="0" xfId="0" applyAlignment="1" applyFill="1" applyFont="1">
      <alignment readingOrder="0" shrinkToFit="0" vertical="center" wrapText="1"/>
    </xf>
    <xf borderId="7" fillId="0" fontId="1" numFmtId="166" xfId="0" applyBorder="1" applyFont="1" applyNumberFormat="1"/>
    <xf borderId="0" fillId="2" fontId="1" numFmtId="0" xfId="0" applyAlignment="1" applyFill="1" applyFont="1">
      <alignment horizontal="right" readingOrder="0"/>
    </xf>
    <xf borderId="8" fillId="0" fontId="3" numFmtId="0" xfId="0" applyAlignment="1" applyBorder="1" applyFont="1">
      <alignment readingOrder="0"/>
    </xf>
    <xf borderId="9" fillId="0" fontId="3" numFmtId="0" xfId="0" applyAlignment="1" applyBorder="1" applyFont="1">
      <alignment readingOrder="0"/>
    </xf>
    <xf borderId="1" fillId="0" fontId="3" numFmtId="0" xfId="0" applyAlignment="1" applyBorder="1" applyFont="1">
      <alignment readingOrder="0"/>
    </xf>
    <xf borderId="2" fillId="0" fontId="3" numFmtId="0" xfId="0" applyAlignment="1" applyBorder="1" applyFont="1">
      <alignment readingOrder="0"/>
    </xf>
    <xf borderId="10" fillId="0" fontId="3" numFmtId="0" xfId="0" applyBorder="1" applyFont="1"/>
    <xf borderId="5" fillId="0" fontId="3" numFmtId="0" xfId="0" applyBorder="1" applyFont="1"/>
    <xf borderId="10" fillId="0" fontId="1" numFmtId="166" xfId="0" applyBorder="1" applyFont="1" applyNumberFormat="1"/>
    <xf borderId="6" fillId="0" fontId="3" numFmtId="0" xfId="0" applyAlignment="1" applyBorder="1" applyFont="1">
      <alignment readingOrder="0"/>
    </xf>
    <xf borderId="5" fillId="0" fontId="3" numFmtId="0" xfId="0" applyAlignment="1" applyBorder="1" applyFont="1">
      <alignment readingOrder="0"/>
    </xf>
    <xf borderId="7" fillId="0" fontId="3" numFmtId="0" xfId="0" applyBorder="1" applyFont="1"/>
    <xf borderId="6" fillId="0" fontId="3" numFmtId="0" xfId="0" applyBorder="1" applyFont="1"/>
    <xf borderId="0" fillId="0" fontId="3" numFmtId="0" xfId="0" applyAlignment="1" applyFont="1">
      <alignment horizontal="center" readingOrder="0"/>
    </xf>
    <xf borderId="9" fillId="0" fontId="3" numFmtId="3" xfId="0" applyAlignment="1" applyBorder="1" applyFont="1" applyNumberFormat="1">
      <alignment readingOrder="0"/>
    </xf>
    <xf borderId="11" fillId="0" fontId="3" numFmtId="3" xfId="0" applyAlignment="1" applyBorder="1" applyFont="1" applyNumberFormat="1">
      <alignment readingOrder="0"/>
    </xf>
    <xf borderId="12" fillId="0" fontId="1" numFmtId="166" xfId="0" applyBorder="1" applyFont="1" applyNumberFormat="1"/>
    <xf borderId="8" fillId="0" fontId="3" numFmtId="0" xfId="0" applyBorder="1" applyFont="1"/>
    <xf borderId="13" fillId="0" fontId="3" numFmtId="0" xfId="0" applyBorder="1" applyFont="1"/>
    <xf borderId="14" fillId="0" fontId="3" numFmtId="0" xfId="0" applyBorder="1" applyFont="1"/>
    <xf borderId="15" fillId="0" fontId="3" numFmtId="0" xfId="0" applyAlignment="1" applyBorder="1" applyFont="1">
      <alignment readingOrder="0"/>
    </xf>
    <xf borderId="1" fillId="0" fontId="1" numFmtId="3" xfId="0" applyAlignment="1" applyBorder="1" applyFont="1" applyNumberFormat="1">
      <alignment horizontal="center"/>
    </xf>
    <xf borderId="12" fillId="0" fontId="3" numFmtId="0" xfId="0" applyBorder="1" applyFont="1"/>
    <xf borderId="11" fillId="0" fontId="3" numFmtId="0" xfId="0" applyBorder="1" applyFont="1"/>
    <xf borderId="11" fillId="0" fontId="3" numFmtId="0" xfId="0" applyAlignment="1" applyBorder="1" applyFont="1">
      <alignment readingOrder="0"/>
    </xf>
    <xf borderId="1" fillId="5" fontId="15" numFmtId="9" xfId="0" applyBorder="1" applyFill="1" applyFont="1" applyNumberFormat="1"/>
    <xf borderId="2" fillId="5" fontId="15" numFmtId="0" xfId="0" applyAlignment="1" applyBorder="1" applyFill="1" applyFont="1">
      <alignment readingOrder="0"/>
    </xf>
    <xf borderId="2" fillId="5" fontId="15" numFmtId="0" xfId="0" applyBorder="1" applyFill="1" applyFont="1"/>
    <xf borderId="3" fillId="5" fontId="15" numFmtId="0" xfId="0" applyBorder="1" applyFill="1" applyFont="1"/>
    <xf borderId="0" fillId="0" fontId="11" numFmtId="0" xfId="0" applyAlignment="1" applyFont="1">
      <alignment horizontal="right" readingOrder="0"/>
    </xf>
    <xf borderId="0" fillId="4" fontId="3" numFmtId="0" xfId="0" applyAlignment="1" applyFill="1" applyFont="1">
      <alignment readingOrder="0"/>
    </xf>
    <xf borderId="0" fillId="4" fontId="3" numFmtId="0" xfId="0" applyFill="1" applyFont="1"/>
    <xf borderId="0" fillId="4" fontId="1" numFmtId="0" xfId="0" applyAlignment="1" applyFill="1" applyFont="1">
      <alignment horizontal="center" readingOrder="0"/>
    </xf>
    <xf borderId="0" fillId="4" fontId="16" numFmtId="0" xfId="0" applyAlignment="1" applyFill="1" applyFont="1">
      <alignment horizontal="center" readingOrder="0"/>
    </xf>
    <xf borderId="11" fillId="0" fontId="3" numFmtId="3" xfId="0" applyBorder="1" applyFont="1" applyNumberFormat="1"/>
    <xf borderId="9" fillId="0" fontId="3" numFmtId="0" xfId="0" applyBorder="1" applyFont="1"/>
    <xf borderId="3" fillId="0" fontId="3" numFmtId="0" xfId="0" applyAlignment="1" applyBorder="1" applyFont="1">
      <alignment readingOrder="0"/>
    </xf>
    <xf borderId="7" fillId="0" fontId="3" numFmtId="0" xfId="0" applyBorder="1" applyFont="1"/>
    <xf borderId="10" fillId="0" fontId="3" numFmtId="0" xfId="0" applyBorder="1" applyFont="1"/>
    <xf borderId="13" fillId="0" fontId="3" numFmtId="0" xfId="0" applyAlignment="1" applyBorder="1" applyFont="1">
      <alignment readingOrder="0"/>
    </xf>
    <xf borderId="14" fillId="0" fontId="3" numFmtId="0" xfId="0" applyAlignment="1" applyBorder="1" applyFont="1">
      <alignment readingOrder="0"/>
    </xf>
    <xf borderId="12" fillId="0" fontId="3" numFmtId="0" xfId="0" applyBorder="1" applyFont="1"/>
    <xf borderId="0" fillId="0" fontId="17" numFmtId="0" xfId="0" applyAlignment="1" applyFont="1">
      <alignment horizontal="center" readingOrder="0"/>
    </xf>
    <xf borderId="0" fillId="0" fontId="16" numFmtId="0" xfId="0" applyAlignment="1" applyFont="1">
      <alignment horizontal="center" readingOrder="0"/>
    </xf>
    <xf borderId="11" fillId="0" fontId="3" numFmtId="0" xfId="0" applyBorder="1" applyFont="1"/>
    <xf borderId="13" fillId="0" fontId="3" numFmtId="3" xfId="0" applyBorder="1" applyFont="1" applyNumberFormat="1"/>
    <xf borderId="15" fillId="0" fontId="3" numFmtId="3" xfId="0" applyAlignment="1" applyBorder="1" applyFont="1" applyNumberFormat="1">
      <alignment readingOrder="0"/>
    </xf>
    <xf borderId="0" fillId="0" fontId="18" numFmtId="0" xfId="0" applyAlignment="1" applyFont="1">
      <alignment vertical="bottom"/>
    </xf>
    <xf borderId="6" fillId="0" fontId="18" numFmtId="0" xfId="0" applyAlignment="1" applyBorder="1" applyFont="1">
      <alignment vertical="bottom"/>
    </xf>
    <xf borderId="1" fillId="6" fontId="1" numFmtId="167" xfId="0" applyAlignment="1" applyBorder="1" applyFill="1" applyFont="1" applyNumberFormat="1">
      <alignment horizontal="center" readingOrder="0"/>
    </xf>
    <xf borderId="5" fillId="0" fontId="3" numFmtId="0" xfId="0" applyBorder="1" applyFont="1"/>
    <xf borderId="6" fillId="0" fontId="19" numFmtId="0" xfId="0" applyAlignment="1" applyBorder="1" applyFont="1">
      <alignment horizontal="right" readingOrder="0" vertical="bottom"/>
    </xf>
    <xf borderId="1" fillId="0" fontId="1" numFmtId="0" xfId="0" applyAlignment="1" applyBorder="1" applyFont="1">
      <alignment horizontal="center" readingOrder="0"/>
    </xf>
    <xf borderId="0" fillId="0" fontId="18" numFmtId="3" xfId="0" applyAlignment="1" applyFont="1" applyNumberFormat="1">
      <alignment vertical="bottom"/>
    </xf>
    <xf borderId="6" fillId="0" fontId="18" numFmtId="3" xfId="0" applyAlignment="1" applyBorder="1" applyFont="1" applyNumberFormat="1">
      <alignment horizontal="right" readingOrder="0" vertical="bottom"/>
    </xf>
    <xf borderId="13" fillId="0" fontId="18" numFmtId="3" xfId="0" applyAlignment="1" applyBorder="1" applyFont="1" applyNumberFormat="1">
      <alignment vertical="bottom"/>
    </xf>
    <xf borderId="15" fillId="0" fontId="18" numFmtId="3" xfId="0" applyAlignment="1" applyBorder="1" applyFont="1" applyNumberFormat="1">
      <alignment readingOrder="0" vertical="bottom"/>
    </xf>
    <xf borderId="14" fillId="0" fontId="18" numFmtId="3" xfId="0" applyAlignment="1" applyBorder="1" applyFont="1" applyNumberFormat="1">
      <alignment vertical="bottom"/>
    </xf>
    <xf borderId="10" fillId="3" fontId="1" numFmtId="0" xfId="0" applyAlignment="1" applyBorder="1" applyFill="1" applyFont="1">
      <alignment horizontal="center" readingOrder="0"/>
    </xf>
    <xf borderId="14" fillId="7" fontId="9" numFmtId="0" xfId="0" applyAlignment="1" applyBorder="1" applyFill="1" applyFont="1">
      <alignment horizontal="center" readingOrder="0"/>
    </xf>
    <xf borderId="5" fillId="0" fontId="18" numFmtId="3" xfId="0" applyAlignment="1" applyBorder="1" applyFont="1" applyNumberFormat="1">
      <alignment vertical="bottom"/>
    </xf>
    <xf borderId="6" fillId="0" fontId="18" numFmtId="3" xfId="0" applyAlignment="1" applyBorder="1" applyFont="1" applyNumberFormat="1">
      <alignment readingOrder="0" vertical="bottom"/>
    </xf>
    <xf borderId="15" fillId="7" fontId="9" numFmtId="0" xfId="0" applyAlignment="1" applyBorder="1" applyFill="1" applyFont="1">
      <alignment horizontal="center" readingOrder="0"/>
    </xf>
    <xf borderId="13" fillId="8" fontId="9" numFmtId="0" xfId="0" applyAlignment="1" applyBorder="1" applyFill="1" applyFont="1">
      <alignment horizontal="center" readingOrder="0"/>
    </xf>
    <xf borderId="14" fillId="8" fontId="9" numFmtId="0" xfId="0" applyAlignment="1" applyBorder="1" applyFill="1" applyFont="1">
      <alignment horizontal="center" readingOrder="0"/>
    </xf>
    <xf borderId="15" fillId="8" fontId="9" numFmtId="0" xfId="0" applyAlignment="1" applyBorder="1" applyFill="1" applyFont="1">
      <alignment horizontal="center" readingOrder="0"/>
    </xf>
    <xf borderId="13" fillId="5" fontId="20" numFmtId="0" xfId="0" applyAlignment="1" applyBorder="1" applyFill="1" applyFont="1">
      <alignment horizontal="center" readingOrder="0"/>
    </xf>
    <xf borderId="0" fillId="0" fontId="21" numFmtId="0" xfId="0" applyAlignment="1" applyFont="1">
      <alignment horizontal="center" readingOrder="0"/>
    </xf>
    <xf borderId="0" fillId="0" fontId="9" numFmtId="0" xfId="0" applyAlignment="1" applyFont="1">
      <alignment horizontal="center" readingOrder="0"/>
    </xf>
    <xf borderId="15" fillId="0" fontId="3" numFmtId="0" xfId="0" applyBorder="1" applyFont="1"/>
    <xf borderId="13" fillId="0" fontId="3" numFmtId="0" xfId="0" applyBorder="1" applyFont="1"/>
    <xf borderId="9" fillId="0" fontId="18" numFmtId="3" xfId="0" applyAlignment="1" applyBorder="1" applyFont="1" applyNumberFormat="1">
      <alignment horizontal="right" readingOrder="0" vertical="bottom"/>
    </xf>
    <xf borderId="13" fillId="0" fontId="1" numFmtId="166" xfId="0" applyBorder="1" applyFont="1" applyNumberFormat="1"/>
    <xf borderId="11" fillId="0" fontId="18" numFmtId="3" xfId="0" applyAlignment="1" applyBorder="1" applyFont="1" applyNumberFormat="1">
      <alignment vertical="bottom"/>
    </xf>
    <xf borderId="10" fillId="0" fontId="1" numFmtId="168" xfId="0" applyAlignment="1" applyBorder="1" applyFont="1" applyNumberFormat="1">
      <alignment readingOrder="0"/>
    </xf>
    <xf borderId="9" fillId="0" fontId="18" numFmtId="3" xfId="0" applyAlignment="1" applyBorder="1" applyFont="1" applyNumberFormat="1">
      <alignment readingOrder="0" vertical="bottom"/>
    </xf>
    <xf borderId="8" fillId="0" fontId="18" numFmtId="3" xfId="0" applyAlignment="1" applyBorder="1" applyFont="1" applyNumberFormat="1">
      <alignment vertical="bottom"/>
    </xf>
    <xf borderId="5" fillId="0" fontId="1" numFmtId="166" xfId="0" applyBorder="1" applyFont="1" applyNumberFormat="1"/>
    <xf borderId="7" fillId="0" fontId="1" numFmtId="168" xfId="0" applyAlignment="1" applyBorder="1" applyFont="1" applyNumberFormat="1">
      <alignment readingOrder="0"/>
    </xf>
    <xf borderId="2" fillId="0" fontId="1" numFmtId="0" xfId="0" applyAlignment="1" applyBorder="1" applyFont="1">
      <alignment horizontal="center"/>
    </xf>
    <xf borderId="11" fillId="0" fontId="19" numFmtId="3" xfId="0" applyAlignment="1" applyBorder="1" applyFont="1" applyNumberFormat="1">
      <alignment horizontal="center" vertical="bottom"/>
    </xf>
    <xf borderId="11" fillId="0" fontId="3" numFmtId="0" xfId="0" applyBorder="1" applyFont="1"/>
    <xf borderId="8" fillId="0" fontId="19" numFmtId="3" xfId="0" applyAlignment="1" applyBorder="1" applyFont="1" applyNumberFormat="1">
      <alignment horizontal="center" vertical="bottom"/>
    </xf>
    <xf borderId="11" fillId="0" fontId="1" numFmtId="166" xfId="0" applyBorder="1" applyFont="1" applyNumberFormat="1"/>
    <xf borderId="15" fillId="0" fontId="18" numFmtId="3" xfId="0" applyAlignment="1" applyBorder="1" applyFont="1" applyNumberFormat="1">
      <alignment horizontal="right" readingOrder="0" vertical="bottom"/>
    </xf>
    <xf borderId="12" fillId="0" fontId="1" numFmtId="168" xfId="0" applyAlignment="1" applyBorder="1" applyFont="1" applyNumberFormat="1">
      <alignment readingOrder="0"/>
    </xf>
    <xf borderId="8" fillId="5" fontId="15" numFmtId="0" xfId="0" applyAlignment="1" applyBorder="1" applyFill="1" applyFont="1">
      <alignment readingOrder="0"/>
    </xf>
    <xf borderId="15" fillId="0" fontId="3" numFmtId="3" xfId="0" applyBorder="1" applyFont="1" applyNumberFormat="1"/>
    <xf borderId="6" fillId="0" fontId="3" numFmtId="3" xfId="0" applyBorder="1" applyFont="1" applyNumberFormat="1"/>
    <xf borderId="9" fillId="0" fontId="3" numFmtId="3" xfId="0" applyBorder="1" applyFont="1" applyNumberFormat="1"/>
    <xf borderId="0" fillId="8" fontId="1" numFmtId="0" xfId="0" applyAlignment="1" applyFill="1" applyFont="1">
      <alignment readingOrder="0"/>
    </xf>
    <xf borderId="0" fillId="0" fontId="1" numFmtId="4" xfId="0" applyAlignment="1" applyFont="1" applyNumberFormat="1">
      <alignment horizontal="center" readingOrder="0"/>
    </xf>
    <xf borderId="0" fillId="9" fontId="3" numFmtId="49" xfId="0" applyAlignment="1" applyFill="1" applyFont="1" applyNumberFormat="1">
      <alignment horizontal="right" readingOrder="0"/>
    </xf>
    <xf borderId="0" fillId="8" fontId="3" numFmtId="164" xfId="0" applyAlignment="1" applyFill="1" applyFont="1" applyNumberFormat="1">
      <alignment readingOrder="0"/>
    </xf>
    <xf borderId="0" fillId="9" fontId="3" numFmtId="0" xfId="0" applyAlignment="1" applyFill="1" applyFont="1">
      <alignment readingOrder="0"/>
    </xf>
    <xf borderId="0" fillId="9" fontId="3" numFmtId="164" xfId="0" applyAlignment="1" applyFill="1" applyFont="1" applyNumberFormat="1">
      <alignment readingOrder="0"/>
    </xf>
    <xf borderId="0" fillId="0" fontId="22" numFmtId="0" xfId="0" applyAlignment="1" applyFont="1">
      <alignment readingOrder="0" shrinkToFit="0" wrapText="1"/>
    </xf>
    <xf borderId="0" fillId="0" fontId="3" numFmtId="4" xfId="0" applyAlignment="1" applyFont="1" applyNumberFormat="1">
      <alignment readingOrder="0"/>
    </xf>
    <xf borderId="0" fillId="0" fontId="3" numFmtId="49" xfId="0" applyAlignment="1" applyFont="1" applyNumberFormat="1">
      <alignment horizontal="right" readingOrder="0"/>
    </xf>
    <xf borderId="0" fillId="10" fontId="3" numFmtId="0" xfId="0" applyAlignment="1" applyFill="1" applyFont="1">
      <alignment readingOrder="0"/>
    </xf>
    <xf borderId="0" fillId="0" fontId="3" numFmtId="4" xfId="0" applyFont="1" applyNumberFormat="1"/>
    <xf borderId="0" fillId="6" fontId="3" numFmtId="49" xfId="0" applyAlignment="1" applyFill="1" applyFont="1" applyNumberFormat="1">
      <alignment horizontal="right" readingOrder="0"/>
    </xf>
    <xf borderId="0" fillId="0" fontId="3" numFmtId="164" xfId="0" applyAlignment="1" applyFont="1" applyNumberFormat="1">
      <alignment readingOrder="0"/>
    </xf>
    <xf borderId="0" fillId="7" fontId="3" numFmtId="164" xfId="0" applyAlignment="1" applyFill="1" applyFont="1" applyNumberFormat="1">
      <alignment readingOrder="0"/>
    </xf>
    <xf borderId="0" fillId="11" fontId="3" numFmtId="164" xfId="0" applyAlignment="1" applyFill="1" applyFont="1" applyNumberFormat="1">
      <alignment readingOrder="0"/>
    </xf>
    <xf borderId="0" fillId="0" fontId="23" numFmtId="0" xfId="0" applyAlignment="1" applyFont="1">
      <alignment readingOrder="0"/>
    </xf>
    <xf borderId="0" fillId="8" fontId="3" numFmtId="0" xfId="0" applyAlignment="1" applyFill="1" applyFont="1">
      <alignment readingOrder="0"/>
    </xf>
    <xf borderId="4" fillId="9" fontId="3" numFmtId="164" xfId="0" applyAlignment="1" applyBorder="1" applyFill="1" applyFont="1" applyNumberFormat="1">
      <alignment readingOrder="0"/>
    </xf>
    <xf borderId="1" fillId="7" fontId="3" numFmtId="164" xfId="0" applyAlignment="1" applyBorder="1" applyFill="1" applyFont="1" applyNumberFormat="1">
      <alignment readingOrder="0"/>
    </xf>
    <xf borderId="3" fillId="7" fontId="3" numFmtId="164" xfId="0" applyAlignment="1" applyBorder="1" applyFill="1" applyFont="1" applyNumberFormat="1">
      <alignment readingOrder="0"/>
    </xf>
    <xf borderId="1" fillId="12" fontId="3" numFmtId="164" xfId="0" applyAlignment="1" applyBorder="1" applyFill="1" applyFont="1" applyNumberFormat="1">
      <alignment readingOrder="0"/>
    </xf>
    <xf borderId="2" fillId="12" fontId="3" numFmtId="164" xfId="0" applyAlignment="1" applyBorder="1" applyFill="1" applyFont="1" applyNumberFormat="1">
      <alignment readingOrder="0"/>
    </xf>
    <xf borderId="3" fillId="12" fontId="3" numFmtId="164" xfId="0" applyAlignment="1" applyBorder="1" applyFill="1" applyFont="1" applyNumberFormat="1">
      <alignment readingOrder="0"/>
    </xf>
    <xf borderId="1" fillId="3" fontId="3" numFmtId="164" xfId="0" applyAlignment="1" applyBorder="1" applyFill="1" applyFont="1" applyNumberFormat="1">
      <alignment readingOrder="0"/>
    </xf>
    <xf borderId="2" fillId="3" fontId="3" numFmtId="164" xfId="0" applyAlignment="1" applyBorder="1" applyFill="1" applyFont="1" applyNumberFormat="1">
      <alignment readingOrder="0"/>
    </xf>
    <xf borderId="3" fillId="3" fontId="3" numFmtId="164" xfId="0" applyAlignment="1" applyBorder="1" applyFill="1" applyFont="1" applyNumberFormat="1">
      <alignment readingOrder="0"/>
    </xf>
    <xf borderId="1" fillId="10" fontId="3" numFmtId="164" xfId="0" applyAlignment="1" applyBorder="1" applyFill="1" applyFont="1" applyNumberFormat="1">
      <alignment readingOrder="0"/>
    </xf>
    <xf borderId="2" fillId="10" fontId="3" numFmtId="164" xfId="0" applyAlignment="1" applyBorder="1" applyFill="1" applyFont="1" applyNumberFormat="1">
      <alignment readingOrder="0"/>
    </xf>
    <xf borderId="3" fillId="10" fontId="3" numFmtId="164" xfId="0" applyAlignment="1" applyBorder="1" applyFill="1" applyFont="1" applyNumberFormat="1">
      <alignment readingOrder="0"/>
    </xf>
    <xf borderId="1" fillId="0" fontId="3" numFmtId="164" xfId="0" applyAlignment="1" applyBorder="1" applyFont="1" applyNumberFormat="1">
      <alignment readingOrder="0"/>
    </xf>
    <xf borderId="2" fillId="0" fontId="3" numFmtId="164" xfId="0" applyAlignment="1" applyBorder="1" applyFont="1" applyNumberFormat="1">
      <alignment readingOrder="0"/>
    </xf>
    <xf quotePrefix="1" borderId="0" fillId="0" fontId="3" numFmtId="0" xfId="0" applyAlignment="1" applyFont="1">
      <alignment readingOrder="0"/>
    </xf>
    <xf quotePrefix="1" borderId="0" fillId="0" fontId="3" numFmtId="0" xfId="0" applyAlignment="1" applyFont="1">
      <alignment readingOrder="0" shrinkToFit="0" vertical="center" wrapText="1"/>
    </xf>
  </cellXfs>
  <cellStyles count="1">
    <cellStyle xfId="0" name="Normal" builtinId="0"/>
  </cellStyles>
  <dxfs count="1">
    <dxf>
      <font/>
      <fill>
        <patternFill patternType="solid">
          <fgColor rgb="FFCFE2F3"/>
          <bgColor rgb="FFCFE2F3"/>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3"/>
    <col customWidth="1" min="2" max="2" width="9.13"/>
    <col customWidth="1" min="3" max="4" width="3.63"/>
    <col customWidth="1" min="5" max="11" width="3.13"/>
    <col customWidth="1" min="12" max="12" width="3.38"/>
    <col customWidth="1" min="13" max="13" width="9.13"/>
    <col customWidth="1" min="14" max="15" width="3.75"/>
    <col customWidth="1" min="16" max="16" width="4.75"/>
    <col customWidth="1" min="17" max="23" width="3.13"/>
    <col customWidth="1" min="24" max="24" width="3.38"/>
    <col customWidth="1" min="25" max="25" width="9.13"/>
    <col customWidth="1" min="26" max="27" width="3.75"/>
    <col customWidth="1" min="28" max="34" width="3.13"/>
    <col customWidth="1" min="35" max="35" width="10.38"/>
  </cols>
  <sheetData>
    <row r="1">
      <c r="B1" s="11" t="s">
        <v>3</v>
      </c>
    </row>
    <row r="2">
      <c r="M2" s="16" t="s">
        <v>15</v>
      </c>
    </row>
    <row r="3">
      <c r="B3" s="19" t="s">
        <v>19</v>
      </c>
      <c r="C3" s="21" t="s">
        <v>24</v>
      </c>
      <c r="D3" s="21" t="s">
        <v>32</v>
      </c>
      <c r="E3" s="23" t="s">
        <v>34</v>
      </c>
      <c r="F3" s="23" t="s">
        <v>36</v>
      </c>
      <c r="G3" s="23" t="s">
        <v>37</v>
      </c>
      <c r="H3" s="25" t="s">
        <v>38</v>
      </c>
      <c r="I3" s="26" t="s">
        <v>34</v>
      </c>
      <c r="J3" s="27" t="s">
        <v>36</v>
      </c>
      <c r="K3" s="28" t="s">
        <v>37</v>
      </c>
      <c r="N3" s="30" t="s">
        <v>41</v>
      </c>
      <c r="O3" s="30"/>
      <c r="P3" s="31"/>
      <c r="Q3" s="31"/>
      <c r="R3" s="31"/>
      <c r="S3" s="31"/>
      <c r="T3" s="31"/>
      <c r="U3" s="31"/>
      <c r="V3" s="31"/>
      <c r="W3" s="31"/>
      <c r="X3" s="31"/>
      <c r="Y3" s="31"/>
      <c r="Z3" s="31"/>
      <c r="AA3" s="31"/>
      <c r="AB3" s="31"/>
      <c r="AC3" s="31"/>
      <c r="AD3" s="31"/>
      <c r="AE3" s="31"/>
      <c r="AF3" s="31"/>
      <c r="AG3" s="31"/>
      <c r="AH3" s="31"/>
      <c r="AI3" s="31"/>
    </row>
    <row r="4">
      <c r="B4" s="33" t="s">
        <v>56</v>
      </c>
      <c r="C4" s="44">
        <f t="shared" ref="C4:C10" si="1">E4*6+F4*3+G4*1+I4*5+J4*2</f>
        <v>26</v>
      </c>
      <c r="D4" s="48">
        <f t="shared" ref="D4:D10" si="2">if(sum(E4:K4)&gt;0,C4/sum(E4:K4),)</f>
        <v>3.714285714</v>
      </c>
      <c r="E4" s="50">
        <v>2.0</v>
      </c>
      <c r="F4" s="50"/>
      <c r="G4" s="50">
        <v>2.0</v>
      </c>
      <c r="H4" s="51"/>
      <c r="I4" s="52">
        <v>2.0</v>
      </c>
      <c r="J4" s="53">
        <v>1.0</v>
      </c>
      <c r="K4" s="20"/>
      <c r="M4" s="30">
        <v>1.0</v>
      </c>
      <c r="N4" s="30" t="s">
        <v>104</v>
      </c>
      <c r="O4" s="30"/>
      <c r="P4" s="31"/>
      <c r="Q4" s="31"/>
      <c r="R4" s="31"/>
      <c r="S4" s="31"/>
      <c r="T4" s="31"/>
      <c r="U4" s="31"/>
      <c r="V4" s="31"/>
      <c r="W4" s="31"/>
      <c r="X4" s="31"/>
      <c r="Y4" s="31"/>
      <c r="Z4" s="31"/>
      <c r="AA4" s="31"/>
      <c r="AB4" s="31"/>
      <c r="AC4" s="31"/>
      <c r="AD4" s="31"/>
      <c r="AE4" s="31"/>
      <c r="AF4" s="31"/>
      <c r="AG4" s="31"/>
      <c r="AH4" s="31"/>
      <c r="AI4" s="31"/>
    </row>
    <row r="5">
      <c r="B5" s="54" t="s">
        <v>105</v>
      </c>
      <c r="C5" s="55">
        <f t="shared" si="1"/>
        <v>25</v>
      </c>
      <c r="D5" s="56">
        <f t="shared" si="2"/>
        <v>3.571428571</v>
      </c>
      <c r="E5" s="14">
        <v>2.0</v>
      </c>
      <c r="F5" s="14">
        <v>1.0</v>
      </c>
      <c r="G5" s="14">
        <v>1.0</v>
      </c>
      <c r="H5" s="57"/>
      <c r="I5" s="58">
        <v>1.0</v>
      </c>
      <c r="J5" s="14">
        <v>2.0</v>
      </c>
      <c r="K5" s="57"/>
      <c r="M5" s="30">
        <v>2.0</v>
      </c>
      <c r="N5" s="30" t="s">
        <v>113</v>
      </c>
      <c r="O5" s="30"/>
      <c r="P5" s="31"/>
      <c r="Q5" s="31"/>
      <c r="R5" s="31"/>
      <c r="S5" s="31"/>
      <c r="T5" s="31"/>
      <c r="U5" s="31"/>
      <c r="V5" s="31"/>
      <c r="W5" s="31"/>
      <c r="X5" s="31"/>
      <c r="Y5" s="31"/>
      <c r="Z5" s="31"/>
      <c r="AA5" s="31"/>
      <c r="AB5" s="31"/>
      <c r="AC5" s="31"/>
      <c r="AD5" s="31"/>
      <c r="AE5" s="31"/>
      <c r="AF5" s="31"/>
      <c r="AG5" s="31"/>
      <c r="AH5" s="31"/>
      <c r="AI5" s="31"/>
    </row>
    <row r="6">
      <c r="B6" s="59" t="s">
        <v>116</v>
      </c>
      <c r="C6" s="55">
        <f t="shared" si="1"/>
        <v>22</v>
      </c>
      <c r="D6" s="48">
        <f t="shared" si="2"/>
        <v>3.142857143</v>
      </c>
      <c r="E6" s="14"/>
      <c r="F6" s="14">
        <v>4.0</v>
      </c>
      <c r="H6" s="60"/>
      <c r="I6" s="58">
        <v>2.0</v>
      </c>
      <c r="K6" s="57">
        <v>1.0</v>
      </c>
      <c r="M6" s="30">
        <v>3.0</v>
      </c>
      <c r="N6" s="30" t="s">
        <v>119</v>
      </c>
      <c r="O6" s="30"/>
      <c r="P6" s="31"/>
      <c r="Q6" s="31"/>
      <c r="R6" s="31"/>
      <c r="S6" s="31"/>
      <c r="T6" s="31"/>
      <c r="U6" s="31"/>
      <c r="V6" s="31"/>
      <c r="W6" s="31"/>
      <c r="X6" s="31"/>
      <c r="Y6" s="31"/>
      <c r="Z6" s="31"/>
      <c r="AA6" s="31"/>
      <c r="AB6" s="31"/>
      <c r="AC6" s="31"/>
      <c r="AD6" s="31"/>
      <c r="AE6" s="31"/>
      <c r="AF6" s="31"/>
      <c r="AG6" s="31"/>
      <c r="AH6" s="31"/>
      <c r="AI6" s="31"/>
    </row>
    <row r="7">
      <c r="B7" s="59" t="s">
        <v>102</v>
      </c>
      <c r="C7" s="55">
        <f t="shared" si="1"/>
        <v>17</v>
      </c>
      <c r="D7" s="48">
        <f t="shared" si="2"/>
        <v>2.428571429</v>
      </c>
      <c r="E7" s="14">
        <v>1.0</v>
      </c>
      <c r="F7" s="14"/>
      <c r="G7" s="14">
        <v>1.0</v>
      </c>
      <c r="H7" s="57">
        <v>2.0</v>
      </c>
      <c r="I7" s="58">
        <v>2.0</v>
      </c>
      <c r="K7" s="57">
        <v>1.0</v>
      </c>
      <c r="M7" s="31"/>
      <c r="N7" s="30" t="s">
        <v>121</v>
      </c>
      <c r="O7" s="30"/>
      <c r="P7" s="31"/>
      <c r="Q7" s="31"/>
      <c r="R7" s="31"/>
      <c r="S7" s="31"/>
      <c r="T7" s="31"/>
      <c r="U7" s="31"/>
      <c r="V7" s="31"/>
      <c r="W7" s="31"/>
      <c r="X7" s="31"/>
      <c r="Y7" s="31"/>
      <c r="Z7" s="31"/>
      <c r="AA7" s="31"/>
      <c r="AB7" s="31"/>
      <c r="AC7" s="31"/>
      <c r="AD7" s="31"/>
      <c r="AE7" s="31"/>
      <c r="AF7" s="31"/>
      <c r="AG7" s="31"/>
      <c r="AH7" s="31"/>
      <c r="AI7" s="31"/>
    </row>
    <row r="8">
      <c r="B8" s="59" t="s">
        <v>122</v>
      </c>
      <c r="C8" s="55">
        <f t="shared" si="1"/>
        <v>11</v>
      </c>
      <c r="D8" s="64">
        <f t="shared" si="2"/>
        <v>1.571428571</v>
      </c>
      <c r="E8" s="50">
        <v>1.0</v>
      </c>
      <c r="F8" s="50">
        <v>1.0</v>
      </c>
      <c r="G8" s="65"/>
      <c r="H8" s="51">
        <v>2.0</v>
      </c>
      <c r="I8" s="55"/>
      <c r="J8" s="14">
        <v>1.0</v>
      </c>
      <c r="K8" s="57">
        <v>2.0</v>
      </c>
      <c r="M8" s="31"/>
      <c r="N8" s="30" t="s">
        <v>123</v>
      </c>
      <c r="O8" s="30"/>
      <c r="P8" s="31"/>
      <c r="Q8" s="31"/>
      <c r="R8" s="31"/>
      <c r="S8" s="31"/>
      <c r="T8" s="31"/>
      <c r="U8" s="31"/>
      <c r="V8" s="31"/>
      <c r="W8" s="31"/>
      <c r="X8" s="31"/>
      <c r="Y8" s="31"/>
      <c r="Z8" s="31"/>
      <c r="AA8" s="31"/>
      <c r="AB8" s="31"/>
      <c r="AC8" s="31"/>
      <c r="AD8" s="31"/>
      <c r="AE8" s="31"/>
      <c r="AF8" s="31"/>
      <c r="AG8" s="31"/>
      <c r="AH8" s="31"/>
      <c r="AI8" s="31"/>
    </row>
    <row r="9">
      <c r="B9" s="54" t="s">
        <v>124</v>
      </c>
      <c r="C9" s="66">
        <f t="shared" si="1"/>
        <v>9</v>
      </c>
      <c r="D9" s="48">
        <f t="shared" si="2"/>
        <v>1.285714286</v>
      </c>
      <c r="E9" s="14">
        <v>1.0</v>
      </c>
      <c r="F9" s="14">
        <v>1.0</v>
      </c>
      <c r="G9" s="14"/>
      <c r="H9" s="57">
        <v>2.0</v>
      </c>
      <c r="I9" s="66"/>
      <c r="J9" s="67"/>
      <c r="K9" s="68">
        <v>3.0</v>
      </c>
      <c r="M9" s="30">
        <v>4.0</v>
      </c>
      <c r="N9" s="30" t="s">
        <v>126</v>
      </c>
      <c r="O9" s="30"/>
      <c r="P9" s="31"/>
      <c r="Q9" s="31"/>
      <c r="R9" s="31"/>
      <c r="S9" s="31"/>
      <c r="T9" s="31"/>
      <c r="U9" s="31"/>
      <c r="V9" s="31"/>
      <c r="W9" s="31"/>
      <c r="X9" s="31"/>
      <c r="Y9" s="31"/>
      <c r="Z9" s="31"/>
      <c r="AA9" s="31"/>
      <c r="AB9" s="31"/>
      <c r="AC9" s="31"/>
      <c r="AD9" s="31"/>
      <c r="AE9" s="31"/>
      <c r="AF9" s="31"/>
      <c r="AG9" s="31"/>
      <c r="AH9" s="31"/>
      <c r="AI9" s="31"/>
    </row>
    <row r="10">
      <c r="B10" s="70" t="s">
        <v>112</v>
      </c>
      <c r="C10" s="71">
        <f t="shared" si="1"/>
        <v>9</v>
      </c>
      <c r="D10" s="64">
        <f t="shared" si="2"/>
        <v>1.285714286</v>
      </c>
      <c r="E10" s="50"/>
      <c r="F10" s="50"/>
      <c r="G10" s="50">
        <v>3.0</v>
      </c>
      <c r="H10" s="51">
        <v>1.0</v>
      </c>
      <c r="I10" s="72"/>
      <c r="J10" s="50">
        <v>3.0</v>
      </c>
      <c r="K10" s="51"/>
      <c r="M10" s="30">
        <v>5.0</v>
      </c>
      <c r="N10" s="30" t="s">
        <v>132</v>
      </c>
      <c r="O10" s="30"/>
      <c r="P10" s="31"/>
      <c r="Q10" s="31"/>
      <c r="R10" s="31"/>
      <c r="S10" s="31"/>
      <c r="T10" s="31"/>
      <c r="U10" s="31"/>
      <c r="V10" s="31"/>
      <c r="W10" s="31"/>
      <c r="X10" s="31"/>
      <c r="Y10" s="31"/>
      <c r="Z10" s="31"/>
      <c r="AA10" s="31"/>
      <c r="AB10" s="31"/>
      <c r="AC10" s="31"/>
      <c r="AD10" s="31"/>
      <c r="AE10" s="31"/>
      <c r="AF10" s="31"/>
      <c r="AG10" s="31"/>
      <c r="AH10" s="31"/>
      <c r="AI10" s="31"/>
    </row>
    <row r="11">
      <c r="B11" s="73">
        <f>sum(C4:C10)/119</f>
        <v>1</v>
      </c>
      <c r="C11" s="15"/>
      <c r="D11" s="15"/>
      <c r="E11" s="74" t="s">
        <v>134</v>
      </c>
      <c r="F11" s="75"/>
      <c r="G11" s="75"/>
      <c r="H11" s="75"/>
      <c r="I11" s="75"/>
      <c r="J11" s="75"/>
      <c r="K11" s="76"/>
      <c r="M11" s="77" t="s">
        <v>135</v>
      </c>
      <c r="N11" s="30" t="s">
        <v>136</v>
      </c>
      <c r="O11" s="30"/>
      <c r="P11" s="31"/>
      <c r="Q11" s="31"/>
      <c r="R11" s="31"/>
      <c r="S11" s="31"/>
      <c r="T11" s="31"/>
      <c r="U11" s="31"/>
      <c r="V11" s="31"/>
      <c r="W11" s="31"/>
      <c r="X11" s="31"/>
      <c r="Y11" s="31"/>
      <c r="Z11" s="31"/>
      <c r="AA11" s="31"/>
      <c r="AB11" s="31"/>
      <c r="AC11" s="31"/>
      <c r="AD11" s="31"/>
      <c r="AE11" s="31"/>
      <c r="AF11" s="31"/>
      <c r="AG11" s="31"/>
      <c r="AH11" s="31"/>
      <c r="AI11" s="31"/>
    </row>
    <row r="12">
      <c r="B12" s="11" t="s">
        <v>137</v>
      </c>
      <c r="I12" s="78" t="s">
        <v>138</v>
      </c>
      <c r="J12" s="79"/>
      <c r="K12" s="79"/>
      <c r="L12" s="79"/>
      <c r="M12" s="11"/>
      <c r="N12" s="80"/>
      <c r="O12" s="80"/>
      <c r="P12" s="81"/>
      <c r="Q12" s="81"/>
      <c r="R12" s="80"/>
      <c r="S12" s="80"/>
      <c r="T12" s="80"/>
      <c r="U12" s="79"/>
      <c r="V12" s="79"/>
      <c r="W12" s="79"/>
      <c r="X12" s="79"/>
      <c r="Y12" s="11"/>
      <c r="Z12" s="80"/>
      <c r="AA12" s="80"/>
      <c r="AB12" s="81"/>
      <c r="AC12" s="80"/>
      <c r="AD12" s="80"/>
      <c r="AE12" s="80"/>
      <c r="AF12" s="79"/>
      <c r="AG12" s="79"/>
      <c r="AH12" s="79"/>
      <c r="AI12" s="79"/>
    </row>
    <row r="14">
      <c r="B14" s="19" t="s">
        <v>139</v>
      </c>
      <c r="C14" s="21" t="s">
        <v>24</v>
      </c>
      <c r="D14" s="21" t="s">
        <v>32</v>
      </c>
      <c r="E14" s="23" t="s">
        <v>34</v>
      </c>
      <c r="F14" s="23" t="s">
        <v>36</v>
      </c>
      <c r="G14" s="23" t="s">
        <v>37</v>
      </c>
      <c r="H14" s="25" t="s">
        <v>38</v>
      </c>
      <c r="I14" s="26" t="s">
        <v>34</v>
      </c>
      <c r="J14" s="27" t="s">
        <v>36</v>
      </c>
      <c r="K14" s="28" t="s">
        <v>37</v>
      </c>
      <c r="M14" s="19" t="s">
        <v>140</v>
      </c>
      <c r="N14" s="21" t="s">
        <v>24</v>
      </c>
      <c r="O14" s="21" t="s">
        <v>32</v>
      </c>
      <c r="P14" s="23"/>
      <c r="Q14" s="23" t="s">
        <v>34</v>
      </c>
      <c r="R14" s="23" t="s">
        <v>36</v>
      </c>
      <c r="S14" s="23" t="s">
        <v>37</v>
      </c>
      <c r="T14" s="25" t="s">
        <v>38</v>
      </c>
      <c r="U14" s="26" t="s">
        <v>34</v>
      </c>
      <c r="V14" s="27" t="s">
        <v>36</v>
      </c>
      <c r="W14" s="28" t="s">
        <v>37</v>
      </c>
    </row>
    <row r="15">
      <c r="B15" s="33" t="s">
        <v>141</v>
      </c>
      <c r="C15" s="44">
        <f t="shared" ref="C15:C21" si="3">E15*6+F15*3+G15*1+I15*5+J15*2</f>
        <v>33</v>
      </c>
      <c r="D15" s="48">
        <f t="shared" ref="D15:D21" si="4">if(sum(E15:K15)&gt;0,C15/sum(E15:K15),)</f>
        <v>4.714285714</v>
      </c>
      <c r="E15" s="50">
        <v>2.0</v>
      </c>
      <c r="F15" s="50">
        <v>2.0</v>
      </c>
      <c r="G15" s="65"/>
      <c r="H15" s="83"/>
      <c r="I15" s="52">
        <v>3.0</v>
      </c>
      <c r="J15" s="15"/>
      <c r="K15" s="20"/>
      <c r="M15" s="33" t="s">
        <v>143</v>
      </c>
      <c r="N15" s="44">
        <f t="shared" ref="N15:N21" si="5">Q15*6+R15*3+S15*1+U15*5+V15*2</f>
        <v>29.5</v>
      </c>
      <c r="O15" s="48">
        <f t="shared" ref="O15:O21" si="6">if(sum(Q15:W15)&gt;0,N15/sum(Q15:W15),)</f>
        <v>4.214285714</v>
      </c>
      <c r="P15" s="14"/>
      <c r="Q15" s="50">
        <v>3.0</v>
      </c>
      <c r="R15" s="50">
        <v>1.0</v>
      </c>
      <c r="S15" s="65"/>
      <c r="T15" s="83"/>
      <c r="U15" s="52">
        <v>1.5</v>
      </c>
      <c r="V15" s="53">
        <v>0.5</v>
      </c>
      <c r="W15" s="84">
        <v>1.0</v>
      </c>
    </row>
    <row r="16">
      <c r="B16" s="54" t="s">
        <v>144</v>
      </c>
      <c r="C16" s="85">
        <f t="shared" si="3"/>
        <v>27</v>
      </c>
      <c r="D16" s="56">
        <f t="shared" si="4"/>
        <v>3.857142857</v>
      </c>
      <c r="E16" s="14">
        <v>2.0</v>
      </c>
      <c r="F16" s="14">
        <v>1.0</v>
      </c>
      <c r="H16" s="57">
        <v>1.0</v>
      </c>
      <c r="I16" s="58">
        <v>2.0</v>
      </c>
      <c r="J16" s="14">
        <v>1.0</v>
      </c>
      <c r="K16" s="60"/>
      <c r="M16" s="54" t="s">
        <v>145</v>
      </c>
      <c r="N16" s="85">
        <f t="shared" si="5"/>
        <v>26</v>
      </c>
      <c r="O16" s="56">
        <f t="shared" si="6"/>
        <v>3.714285714</v>
      </c>
      <c r="P16" s="14"/>
      <c r="Q16" s="14">
        <v>2.0</v>
      </c>
      <c r="R16" s="14">
        <v>1.0</v>
      </c>
      <c r="S16" s="14">
        <v>1.0</v>
      </c>
      <c r="T16" s="60"/>
      <c r="U16" s="58">
        <v>2.0</v>
      </c>
      <c r="W16" s="57">
        <v>1.0</v>
      </c>
    </row>
    <row r="17">
      <c r="B17" s="59" t="s">
        <v>146</v>
      </c>
      <c r="C17" s="85">
        <f t="shared" si="3"/>
        <v>21</v>
      </c>
      <c r="D17" s="48">
        <f t="shared" si="4"/>
        <v>3</v>
      </c>
      <c r="E17" s="14">
        <v>1.0</v>
      </c>
      <c r="F17" s="14">
        <v>2.5</v>
      </c>
      <c r="G17" s="14">
        <v>0.5</v>
      </c>
      <c r="H17" s="60"/>
      <c r="I17" s="58">
        <v>1.0</v>
      </c>
      <c r="J17" s="14">
        <v>1.0</v>
      </c>
      <c r="K17" s="57">
        <v>1.0</v>
      </c>
      <c r="M17" s="59" t="s">
        <v>147</v>
      </c>
      <c r="N17" s="85">
        <f t="shared" si="5"/>
        <v>24.5</v>
      </c>
      <c r="O17" s="48">
        <f t="shared" si="6"/>
        <v>3.5</v>
      </c>
      <c r="P17" s="14"/>
      <c r="Q17" s="14">
        <v>2.0</v>
      </c>
      <c r="R17" s="14">
        <v>1.0</v>
      </c>
      <c r="S17" s="14">
        <v>1.0</v>
      </c>
      <c r="T17" s="60"/>
      <c r="U17" s="58">
        <v>1.5</v>
      </c>
      <c r="V17" s="14">
        <v>0.5</v>
      </c>
      <c r="W17" s="57">
        <v>1.0</v>
      </c>
    </row>
    <row r="18">
      <c r="B18" s="59" t="s">
        <v>148</v>
      </c>
      <c r="C18" s="85">
        <f t="shared" si="3"/>
        <v>14</v>
      </c>
      <c r="D18" s="48">
        <f t="shared" si="4"/>
        <v>2</v>
      </c>
      <c r="E18" s="14">
        <v>1.0</v>
      </c>
      <c r="F18" s="14">
        <v>1.0</v>
      </c>
      <c r="G18" s="14">
        <v>1.0</v>
      </c>
      <c r="H18" s="57">
        <v>1.0</v>
      </c>
      <c r="I18" s="55"/>
      <c r="J18" s="14">
        <v>2.0</v>
      </c>
      <c r="K18" s="57">
        <v>1.0</v>
      </c>
      <c r="M18" s="59" t="s">
        <v>149</v>
      </c>
      <c r="N18" s="85">
        <f t="shared" si="5"/>
        <v>11</v>
      </c>
      <c r="O18" s="48">
        <f t="shared" si="6"/>
        <v>1.571428571</v>
      </c>
      <c r="S18" s="14">
        <v>2.0</v>
      </c>
      <c r="T18" s="57">
        <v>2.0</v>
      </c>
      <c r="U18" s="58">
        <v>1.0</v>
      </c>
      <c r="V18" s="14">
        <v>2.0</v>
      </c>
      <c r="W18" s="60"/>
    </row>
    <row r="19">
      <c r="B19" s="70" t="s">
        <v>150</v>
      </c>
      <c r="C19" s="85">
        <f t="shared" si="3"/>
        <v>11</v>
      </c>
      <c r="D19" s="64">
        <f t="shared" si="4"/>
        <v>1.571428571</v>
      </c>
      <c r="E19" s="50">
        <v>1.0</v>
      </c>
      <c r="F19" s="50">
        <v>0.5</v>
      </c>
      <c r="G19" s="50">
        <v>1.5</v>
      </c>
      <c r="H19" s="51">
        <v>1.0</v>
      </c>
      <c r="I19" s="55"/>
      <c r="J19" s="14">
        <v>1.0</v>
      </c>
      <c r="K19" s="57">
        <v>2.0</v>
      </c>
      <c r="M19" s="59" t="s">
        <v>151</v>
      </c>
      <c r="N19" s="85">
        <f t="shared" si="5"/>
        <v>10</v>
      </c>
      <c r="O19" s="64">
        <f t="shared" si="6"/>
        <v>1.428571429</v>
      </c>
      <c r="P19" s="50"/>
      <c r="Q19" s="50"/>
      <c r="R19" s="50">
        <v>2.0</v>
      </c>
      <c r="S19" s="50"/>
      <c r="T19" s="51">
        <v>2.0</v>
      </c>
      <c r="U19" s="55"/>
      <c r="V19" s="14">
        <v>2.0</v>
      </c>
      <c r="W19" s="57">
        <v>1.0</v>
      </c>
    </row>
    <row r="20">
      <c r="B20" s="54" t="s">
        <v>152</v>
      </c>
      <c r="C20" s="86">
        <f t="shared" si="3"/>
        <v>9</v>
      </c>
      <c r="D20" s="48">
        <f t="shared" si="4"/>
        <v>1.285714286</v>
      </c>
      <c r="G20" s="14">
        <v>2.0</v>
      </c>
      <c r="H20" s="57">
        <v>2.0</v>
      </c>
      <c r="I20" s="87">
        <v>1.0</v>
      </c>
      <c r="J20" s="88">
        <v>1.0</v>
      </c>
      <c r="K20" s="68">
        <v>1.0</v>
      </c>
      <c r="M20" s="54" t="s">
        <v>153</v>
      </c>
      <c r="N20" s="86">
        <f t="shared" si="5"/>
        <v>9</v>
      </c>
      <c r="O20" s="48">
        <f t="shared" si="6"/>
        <v>1.285714286</v>
      </c>
      <c r="R20" s="14">
        <v>1.0</v>
      </c>
      <c r="S20" s="14">
        <v>1.0</v>
      </c>
      <c r="T20" s="57">
        <v>2.0</v>
      </c>
      <c r="U20" s="87">
        <v>1.0</v>
      </c>
      <c r="V20" s="67"/>
      <c r="W20" s="68">
        <v>2.0</v>
      </c>
    </row>
    <row r="21">
      <c r="B21" s="70" t="s">
        <v>154</v>
      </c>
      <c r="C21" s="89">
        <f t="shared" si="3"/>
        <v>4</v>
      </c>
      <c r="D21" s="64">
        <f t="shared" si="4"/>
        <v>0.5714285714</v>
      </c>
      <c r="E21" s="50"/>
      <c r="F21" s="65"/>
      <c r="G21" s="50">
        <v>2.0</v>
      </c>
      <c r="H21" s="51">
        <v>2.0</v>
      </c>
      <c r="I21" s="71"/>
      <c r="J21" s="50">
        <v>1.0</v>
      </c>
      <c r="K21" s="51">
        <v>2.0</v>
      </c>
      <c r="M21" s="70" t="s">
        <v>155</v>
      </c>
      <c r="N21" s="89">
        <f t="shared" si="5"/>
        <v>9</v>
      </c>
      <c r="O21" s="64">
        <f t="shared" si="6"/>
        <v>1.285714286</v>
      </c>
      <c r="P21" s="50"/>
      <c r="Q21" s="50"/>
      <c r="R21" s="50">
        <v>1.0</v>
      </c>
      <c r="S21" s="50">
        <v>2.0</v>
      </c>
      <c r="T21" s="51">
        <v>1.0</v>
      </c>
      <c r="U21" s="71"/>
      <c r="V21" s="50">
        <v>2.0</v>
      </c>
      <c r="W21" s="51">
        <v>1.0</v>
      </c>
    </row>
    <row r="22">
      <c r="B22" s="73">
        <f>sum(C15:C21)/119</f>
        <v>1</v>
      </c>
      <c r="C22" s="15"/>
      <c r="D22" s="15"/>
      <c r="E22" s="74" t="s">
        <v>134</v>
      </c>
      <c r="F22" s="75"/>
      <c r="G22" s="75"/>
      <c r="H22" s="75"/>
      <c r="I22" s="75"/>
      <c r="J22" s="75"/>
      <c r="K22" s="76"/>
      <c r="M22" s="73">
        <f>sum(N15:N21)/119</f>
        <v>1</v>
      </c>
      <c r="N22" s="15"/>
      <c r="O22" s="15"/>
      <c r="P22" s="74"/>
      <c r="Q22" s="74" t="s">
        <v>134</v>
      </c>
      <c r="R22" s="75"/>
      <c r="S22" s="75"/>
      <c r="T22" s="75"/>
      <c r="U22" s="75"/>
      <c r="V22" s="75"/>
      <c r="W22" s="76"/>
    </row>
    <row r="23">
      <c r="B23" s="11" t="s">
        <v>156</v>
      </c>
      <c r="I23" s="78" t="s">
        <v>157</v>
      </c>
      <c r="J23" s="79"/>
      <c r="K23" s="79"/>
      <c r="L23" s="79"/>
      <c r="M23" s="11"/>
      <c r="N23" s="80"/>
      <c r="O23" s="80"/>
      <c r="P23" s="81"/>
      <c r="Q23" s="81"/>
      <c r="R23" s="80"/>
      <c r="S23" s="80"/>
      <c r="T23" s="80"/>
      <c r="U23" s="79"/>
      <c r="V23" s="79"/>
      <c r="W23" s="79"/>
      <c r="X23" s="79"/>
      <c r="Y23" s="11"/>
      <c r="Z23" s="80"/>
      <c r="AA23" s="80"/>
      <c r="AB23" s="81"/>
      <c r="AC23" s="80"/>
      <c r="AD23" s="80"/>
      <c r="AE23" s="80"/>
      <c r="AF23" s="79"/>
      <c r="AG23" s="79"/>
      <c r="AH23" s="79"/>
      <c r="AI23" s="79"/>
    </row>
    <row r="24">
      <c r="B24" s="90"/>
      <c r="C24" s="45"/>
      <c r="D24" s="45"/>
      <c r="E24" s="91"/>
      <c r="F24" s="45"/>
      <c r="G24" s="45"/>
      <c r="H24" s="45"/>
      <c r="M24" s="90"/>
      <c r="N24" s="45"/>
      <c r="O24" s="45"/>
      <c r="P24" s="91"/>
      <c r="Q24" s="91"/>
      <c r="R24" s="45"/>
      <c r="S24" s="45"/>
      <c r="T24" s="45"/>
      <c r="Y24" s="90"/>
      <c r="Z24" s="45"/>
      <c r="AA24" s="45"/>
      <c r="AB24" s="91"/>
      <c r="AC24" s="45"/>
      <c r="AD24" s="45"/>
      <c r="AE24" s="45"/>
    </row>
    <row r="25">
      <c r="B25" s="19" t="s">
        <v>158</v>
      </c>
      <c r="C25" s="21" t="s">
        <v>24</v>
      </c>
      <c r="D25" s="21" t="s">
        <v>32</v>
      </c>
      <c r="E25" s="23" t="s">
        <v>34</v>
      </c>
      <c r="F25" s="23" t="s">
        <v>36</v>
      </c>
      <c r="G25" s="23" t="s">
        <v>37</v>
      </c>
      <c r="H25" s="25" t="s">
        <v>38</v>
      </c>
      <c r="I25" s="26" t="s">
        <v>34</v>
      </c>
      <c r="J25" s="27" t="s">
        <v>36</v>
      </c>
      <c r="K25" s="28" t="s">
        <v>37</v>
      </c>
      <c r="M25" s="19" t="s">
        <v>159</v>
      </c>
      <c r="N25" s="21" t="s">
        <v>24</v>
      </c>
      <c r="O25" s="21" t="s">
        <v>32</v>
      </c>
      <c r="P25" s="23"/>
      <c r="Q25" s="23" t="s">
        <v>34</v>
      </c>
      <c r="R25" s="23" t="s">
        <v>36</v>
      </c>
      <c r="S25" s="23" t="s">
        <v>37</v>
      </c>
      <c r="T25" s="25" t="s">
        <v>38</v>
      </c>
      <c r="U25" s="26" t="s">
        <v>34</v>
      </c>
      <c r="V25" s="27" t="s">
        <v>36</v>
      </c>
      <c r="W25" s="28" t="s">
        <v>37</v>
      </c>
      <c r="Y25" s="19" t="s">
        <v>160</v>
      </c>
      <c r="Z25" s="21" t="s">
        <v>24</v>
      </c>
      <c r="AA25" s="21" t="s">
        <v>32</v>
      </c>
      <c r="AB25" s="23" t="s">
        <v>34</v>
      </c>
      <c r="AC25" s="23" t="s">
        <v>36</v>
      </c>
      <c r="AD25" s="23" t="s">
        <v>37</v>
      </c>
      <c r="AE25" s="25" t="s">
        <v>38</v>
      </c>
      <c r="AF25" s="26" t="s">
        <v>34</v>
      </c>
      <c r="AG25" s="27" t="s">
        <v>36</v>
      </c>
      <c r="AH25" s="28" t="s">
        <v>37</v>
      </c>
    </row>
    <row r="26">
      <c r="B26" s="33" t="s">
        <v>161</v>
      </c>
      <c r="C26" s="44">
        <f t="shared" ref="C26:C32" si="7">E26*6+F26*3+G26*1+I26*5+J26*2</f>
        <v>34</v>
      </c>
      <c r="D26" s="48">
        <f t="shared" ref="D26:D32" si="8">if(sum(E26:K26)&gt;0,C26/sum(E26:K26),)</f>
        <v>4.857142857</v>
      </c>
      <c r="E26" s="50">
        <v>4.0</v>
      </c>
      <c r="F26" s="65"/>
      <c r="G26" s="65"/>
      <c r="H26" s="83"/>
      <c r="I26" s="52">
        <v>2.0</v>
      </c>
      <c r="J26" s="15"/>
      <c r="K26" s="84">
        <v>1.0</v>
      </c>
      <c r="M26" s="92" t="s">
        <v>162</v>
      </c>
      <c r="N26" s="44">
        <f t="shared" ref="N26:N32" si="9">Q26*6+R26*3+S26*1+U26*5+V26*2</f>
        <v>39</v>
      </c>
      <c r="O26" s="48">
        <f t="shared" ref="O26:O32" si="10">if(sum(Q26:W26)&gt;0,N26/sum(Q26:W26),)</f>
        <v>5.571428571</v>
      </c>
      <c r="P26" s="14"/>
      <c r="Q26" s="50">
        <v>4.0</v>
      </c>
      <c r="R26" s="65"/>
      <c r="S26" s="65"/>
      <c r="T26" s="83"/>
      <c r="U26" s="52">
        <v>3.0</v>
      </c>
      <c r="V26" s="15"/>
      <c r="W26" s="20"/>
      <c r="Y26" s="92" t="s">
        <v>163</v>
      </c>
      <c r="Z26" s="44">
        <f t="shared" ref="Z26:Z32" si="11">AB26*6+AC26*3+AD26*1+AF26*5+AG26*2</f>
        <v>33</v>
      </c>
      <c r="AA26" s="48">
        <f t="shared" ref="AA26:AA32" si="12">if(sum(AB26:AH26)&gt;0,Z26/sum(AB26:AH26),)</f>
        <v>4.714285714</v>
      </c>
      <c r="AB26" s="50">
        <v>3.0</v>
      </c>
      <c r="AC26" s="50">
        <v>1.0</v>
      </c>
      <c r="AD26" s="65"/>
      <c r="AE26" s="83"/>
      <c r="AF26" s="52">
        <v>2.0</v>
      </c>
      <c r="AG26" s="53">
        <v>1.0</v>
      </c>
      <c r="AH26" s="20"/>
    </row>
    <row r="27">
      <c r="B27" s="54" t="s">
        <v>164</v>
      </c>
      <c r="C27" s="85">
        <f t="shared" si="7"/>
        <v>23</v>
      </c>
      <c r="D27" s="56">
        <f t="shared" si="8"/>
        <v>3.285714286</v>
      </c>
      <c r="E27" s="14">
        <v>1.0</v>
      </c>
      <c r="F27" s="14">
        <v>1.0</v>
      </c>
      <c r="G27" s="14">
        <v>2.0</v>
      </c>
      <c r="H27" s="60"/>
      <c r="I27" s="58">
        <v>2.0</v>
      </c>
      <c r="J27" s="14">
        <v>1.0</v>
      </c>
      <c r="K27" s="60"/>
      <c r="M27" s="33" t="s">
        <v>165</v>
      </c>
      <c r="N27" s="85">
        <f t="shared" si="9"/>
        <v>24</v>
      </c>
      <c r="O27" s="56">
        <f t="shared" si="10"/>
        <v>3.428571429</v>
      </c>
      <c r="P27" s="14"/>
      <c r="Q27" s="14">
        <v>1.0</v>
      </c>
      <c r="R27" s="14">
        <v>2.0</v>
      </c>
      <c r="S27" s="14"/>
      <c r="T27" s="57">
        <v>1.0</v>
      </c>
      <c r="U27" s="58">
        <v>2.0</v>
      </c>
      <c r="V27" s="14">
        <v>1.0</v>
      </c>
      <c r="W27" s="60"/>
      <c r="Y27" s="33" t="s">
        <v>166</v>
      </c>
      <c r="Z27" s="85">
        <f t="shared" si="11"/>
        <v>28</v>
      </c>
      <c r="AA27" s="56">
        <f t="shared" si="12"/>
        <v>4</v>
      </c>
      <c r="AB27" s="14">
        <v>2.0</v>
      </c>
      <c r="AC27" s="14">
        <v>1.0</v>
      </c>
      <c r="AD27" s="14">
        <v>1.0</v>
      </c>
      <c r="AE27" s="60"/>
      <c r="AF27" s="58">
        <v>2.0</v>
      </c>
      <c r="AG27" s="14">
        <v>1.0</v>
      </c>
      <c r="AH27" s="60"/>
    </row>
    <row r="28">
      <c r="B28" s="59" t="s">
        <v>167</v>
      </c>
      <c r="C28" s="85">
        <f t="shared" si="7"/>
        <v>20</v>
      </c>
      <c r="D28" s="48">
        <f t="shared" si="8"/>
        <v>2.857142857</v>
      </c>
      <c r="E28" s="14">
        <v>2.0</v>
      </c>
      <c r="F28" s="14">
        <v>1.0</v>
      </c>
      <c r="H28" s="57">
        <v>1.0</v>
      </c>
      <c r="I28" s="58">
        <v>1.0</v>
      </c>
      <c r="K28" s="57">
        <v>2.0</v>
      </c>
      <c r="M28" s="33" t="s">
        <v>168</v>
      </c>
      <c r="N28" s="85">
        <f t="shared" si="9"/>
        <v>22</v>
      </c>
      <c r="O28" s="48">
        <f t="shared" si="10"/>
        <v>3.142857143</v>
      </c>
      <c r="P28" s="14"/>
      <c r="Q28" s="14">
        <v>1.0</v>
      </c>
      <c r="R28" s="14">
        <v>3.0</v>
      </c>
      <c r="T28" s="60"/>
      <c r="U28" s="58">
        <v>1.0</v>
      </c>
      <c r="V28" s="14">
        <v>1.0</v>
      </c>
      <c r="W28" s="57">
        <v>1.0</v>
      </c>
      <c r="Y28" s="33" t="s">
        <v>170</v>
      </c>
      <c r="Z28" s="85">
        <f t="shared" si="11"/>
        <v>28</v>
      </c>
      <c r="AA28" s="48">
        <f t="shared" si="12"/>
        <v>4</v>
      </c>
      <c r="AB28" s="14">
        <v>2.0</v>
      </c>
      <c r="AC28" s="14">
        <v>1.0</v>
      </c>
      <c r="AD28" s="14">
        <v>1.0</v>
      </c>
      <c r="AE28" s="60"/>
      <c r="AF28" s="58">
        <v>2.0</v>
      </c>
      <c r="AG28" s="14">
        <v>1.0</v>
      </c>
      <c r="AH28" s="60"/>
    </row>
    <row r="29">
      <c r="B29" s="59" t="s">
        <v>171</v>
      </c>
      <c r="C29" s="85">
        <f t="shared" si="7"/>
        <v>17</v>
      </c>
      <c r="D29" s="48">
        <f t="shared" si="8"/>
        <v>2.428571429</v>
      </c>
      <c r="E29" s="14"/>
      <c r="F29" s="14">
        <v>2.0</v>
      </c>
      <c r="G29" s="14">
        <v>2.0</v>
      </c>
      <c r="H29" s="60"/>
      <c r="I29" s="58">
        <v>1.0</v>
      </c>
      <c r="J29" s="14">
        <v>2.0</v>
      </c>
      <c r="K29" s="60"/>
      <c r="M29" s="33" t="s">
        <v>172</v>
      </c>
      <c r="N29" s="85">
        <f t="shared" si="9"/>
        <v>16</v>
      </c>
      <c r="O29" s="48">
        <f t="shared" si="10"/>
        <v>2.285714286</v>
      </c>
      <c r="P29" s="14"/>
      <c r="Q29" s="14">
        <v>1.0</v>
      </c>
      <c r="S29" s="14">
        <v>1.0</v>
      </c>
      <c r="T29" s="57">
        <v>2.0</v>
      </c>
      <c r="U29" s="58">
        <v>1.0</v>
      </c>
      <c r="V29" s="14">
        <v>2.0</v>
      </c>
      <c r="W29" s="60"/>
      <c r="Y29" s="33" t="s">
        <v>173</v>
      </c>
      <c r="Z29" s="85">
        <f t="shared" si="11"/>
        <v>13</v>
      </c>
      <c r="AA29" s="48">
        <f t="shared" si="12"/>
        <v>1.857142857</v>
      </c>
      <c r="AB29" s="14"/>
      <c r="AC29" s="14">
        <v>1.0</v>
      </c>
      <c r="AD29" s="14">
        <v>3.0</v>
      </c>
      <c r="AE29" s="60"/>
      <c r="AF29" s="58">
        <v>1.0</v>
      </c>
      <c r="AG29" s="14">
        <v>1.0</v>
      </c>
      <c r="AH29" s="57">
        <v>1.0</v>
      </c>
    </row>
    <row r="30">
      <c r="B30" s="59" t="s">
        <v>174</v>
      </c>
      <c r="C30" s="85">
        <f t="shared" si="7"/>
        <v>11</v>
      </c>
      <c r="D30" s="64">
        <f t="shared" si="8"/>
        <v>1.571428571</v>
      </c>
      <c r="E30" s="65"/>
      <c r="F30" s="50">
        <v>2.0</v>
      </c>
      <c r="G30" s="50">
        <v>1.0</v>
      </c>
      <c r="H30" s="51">
        <v>1.0</v>
      </c>
      <c r="I30" s="55"/>
      <c r="J30" s="14">
        <v>2.0</v>
      </c>
      <c r="K30" s="57">
        <v>1.0</v>
      </c>
      <c r="M30" s="92" t="s">
        <v>175</v>
      </c>
      <c r="N30" s="85">
        <f t="shared" si="9"/>
        <v>11</v>
      </c>
      <c r="O30" s="64">
        <f t="shared" si="10"/>
        <v>1.571428571</v>
      </c>
      <c r="P30" s="50"/>
      <c r="Q30" s="50"/>
      <c r="R30" s="50">
        <v>2.0</v>
      </c>
      <c r="S30" s="50">
        <v>1.0</v>
      </c>
      <c r="T30" s="51">
        <v>1.0</v>
      </c>
      <c r="U30" s="55"/>
      <c r="V30" s="14">
        <v>2.0</v>
      </c>
      <c r="W30" s="57">
        <v>1.0</v>
      </c>
      <c r="Y30" s="92" t="s">
        <v>176</v>
      </c>
      <c r="Z30" s="85">
        <f t="shared" si="11"/>
        <v>11</v>
      </c>
      <c r="AA30" s="64">
        <f t="shared" si="12"/>
        <v>1.571428571</v>
      </c>
      <c r="AB30" s="65"/>
      <c r="AC30" s="50">
        <v>3.0</v>
      </c>
      <c r="AD30" s="65"/>
      <c r="AE30" s="51">
        <v>1.0</v>
      </c>
      <c r="AF30" s="55"/>
      <c r="AG30" s="14">
        <v>1.0</v>
      </c>
      <c r="AH30" s="57">
        <v>2.0</v>
      </c>
    </row>
    <row r="31">
      <c r="B31" s="54" t="s">
        <v>177</v>
      </c>
      <c r="C31" s="86">
        <f t="shared" si="7"/>
        <v>11</v>
      </c>
      <c r="D31" s="48">
        <f t="shared" si="8"/>
        <v>1.571428571</v>
      </c>
      <c r="F31" s="14">
        <v>1.0</v>
      </c>
      <c r="G31" s="14">
        <v>1.0</v>
      </c>
      <c r="H31" s="57">
        <v>2.0</v>
      </c>
      <c r="I31" s="87">
        <v>1.0</v>
      </c>
      <c r="J31" s="88">
        <v>1.0</v>
      </c>
      <c r="K31" s="68">
        <v>1.0</v>
      </c>
      <c r="M31" s="98" t="s">
        <v>178</v>
      </c>
      <c r="N31" s="86">
        <f t="shared" si="9"/>
        <v>6</v>
      </c>
      <c r="O31" s="48">
        <f t="shared" si="10"/>
        <v>0.8571428571</v>
      </c>
      <c r="S31" s="14">
        <v>4.0</v>
      </c>
      <c r="T31" s="60"/>
      <c r="U31" s="66"/>
      <c r="V31" s="88">
        <v>1.0</v>
      </c>
      <c r="W31" s="68">
        <v>2.0</v>
      </c>
      <c r="Y31" s="33" t="s">
        <v>179</v>
      </c>
      <c r="Z31" s="86">
        <f t="shared" si="11"/>
        <v>5</v>
      </c>
      <c r="AA31" s="48">
        <f t="shared" si="12"/>
        <v>0.7142857143</v>
      </c>
      <c r="AD31" s="14">
        <v>1.0</v>
      </c>
      <c r="AE31" s="57">
        <v>3.0</v>
      </c>
      <c r="AF31" s="66"/>
      <c r="AG31" s="88">
        <v>2.0</v>
      </c>
      <c r="AH31" s="68">
        <v>1.0</v>
      </c>
    </row>
    <row r="32">
      <c r="B32" s="70" t="s">
        <v>180</v>
      </c>
      <c r="C32" s="89">
        <f t="shared" si="7"/>
        <v>3</v>
      </c>
      <c r="D32" s="64">
        <f t="shared" si="8"/>
        <v>0.4285714286</v>
      </c>
      <c r="E32" s="50"/>
      <c r="F32" s="65"/>
      <c r="G32" s="50">
        <v>1.0</v>
      </c>
      <c r="H32" s="51">
        <v>3.0</v>
      </c>
      <c r="I32" s="71"/>
      <c r="J32" s="50">
        <v>1.0</v>
      </c>
      <c r="K32" s="51">
        <v>2.0</v>
      </c>
      <c r="M32" s="92" t="s">
        <v>181</v>
      </c>
      <c r="N32" s="89">
        <f t="shared" si="9"/>
        <v>1</v>
      </c>
      <c r="O32" s="64">
        <f t="shared" si="10"/>
        <v>0.1428571429</v>
      </c>
      <c r="P32" s="50"/>
      <c r="Q32" s="50"/>
      <c r="R32" s="65"/>
      <c r="S32" s="50">
        <v>1.0</v>
      </c>
      <c r="T32" s="51">
        <v>3.0</v>
      </c>
      <c r="U32" s="71"/>
      <c r="V32" s="65"/>
      <c r="W32" s="51">
        <v>3.0</v>
      </c>
      <c r="Y32" s="92" t="s">
        <v>182</v>
      </c>
      <c r="Z32" s="89">
        <f t="shared" si="11"/>
        <v>1</v>
      </c>
      <c r="AA32" s="64">
        <f t="shared" si="12"/>
        <v>0.1428571429</v>
      </c>
      <c r="AB32" s="50"/>
      <c r="AC32" s="65"/>
      <c r="AD32" s="50">
        <v>1.0</v>
      </c>
      <c r="AE32" s="51">
        <v>3.0</v>
      </c>
      <c r="AF32" s="71"/>
      <c r="AG32" s="65"/>
      <c r="AH32" s="51">
        <v>3.0</v>
      </c>
    </row>
    <row r="33">
      <c r="B33" s="73">
        <f>sum(C26:C32)/119</f>
        <v>1</v>
      </c>
      <c r="C33" s="15"/>
      <c r="D33" s="15"/>
      <c r="E33" s="74" t="s">
        <v>134</v>
      </c>
      <c r="F33" s="75"/>
      <c r="G33" s="75"/>
      <c r="H33" s="75"/>
      <c r="I33" s="75"/>
      <c r="J33" s="75"/>
      <c r="K33" s="76"/>
      <c r="M33" s="73">
        <f>sum(N26:N32)/119</f>
        <v>1</v>
      </c>
      <c r="N33" s="15"/>
      <c r="O33" s="15"/>
      <c r="P33" s="74"/>
      <c r="Q33" s="74" t="s">
        <v>134</v>
      </c>
      <c r="R33" s="75"/>
      <c r="S33" s="75"/>
      <c r="T33" s="75"/>
      <c r="U33" s="75"/>
      <c r="V33" s="75"/>
      <c r="W33" s="76"/>
      <c r="Y33" s="73">
        <f>sum(Z26:Z32)/119</f>
        <v>1</v>
      </c>
      <c r="Z33" s="15"/>
      <c r="AA33" s="15"/>
      <c r="AB33" s="74" t="s">
        <v>134</v>
      </c>
      <c r="AC33" s="75"/>
      <c r="AD33" s="75"/>
      <c r="AE33" s="75"/>
      <c r="AF33" s="75"/>
      <c r="AG33" s="75"/>
      <c r="AH33" s="76"/>
    </row>
    <row r="34">
      <c r="B34" s="11" t="s">
        <v>183</v>
      </c>
      <c r="I34" s="78" t="s">
        <v>184</v>
      </c>
      <c r="J34" s="79"/>
      <c r="K34" s="79"/>
      <c r="L34" s="79"/>
      <c r="M34" s="11"/>
      <c r="N34" s="80"/>
      <c r="O34" s="80"/>
      <c r="P34" s="81"/>
      <c r="Q34" s="81"/>
      <c r="R34" s="80"/>
      <c r="S34" s="80"/>
      <c r="T34" s="80"/>
      <c r="U34" s="79"/>
      <c r="V34" s="79"/>
      <c r="W34" s="79"/>
      <c r="X34" s="79"/>
      <c r="Y34" s="11"/>
      <c r="Z34" s="80"/>
      <c r="AA34" s="80"/>
      <c r="AB34" s="81"/>
      <c r="AC34" s="80"/>
      <c r="AD34" s="80"/>
      <c r="AE34" s="80"/>
      <c r="AF34" s="79"/>
      <c r="AG34" s="79"/>
      <c r="AH34" s="79"/>
      <c r="AI34" s="79"/>
    </row>
    <row r="35">
      <c r="B35" s="90"/>
      <c r="C35" s="45"/>
      <c r="D35" s="45"/>
      <c r="E35" s="91"/>
      <c r="F35" s="45"/>
      <c r="G35" s="45"/>
      <c r="H35" s="45"/>
      <c r="M35" s="90"/>
      <c r="N35" s="45"/>
      <c r="O35" s="45"/>
      <c r="P35" s="91"/>
      <c r="Q35" s="91"/>
      <c r="R35" s="45"/>
      <c r="S35" s="45"/>
      <c r="T35" s="45"/>
      <c r="Y35" s="90"/>
      <c r="Z35" s="45"/>
      <c r="AA35" s="45"/>
      <c r="AB35" s="91"/>
      <c r="AC35" s="45"/>
      <c r="AD35" s="45"/>
      <c r="AE35" s="45"/>
    </row>
    <row r="36">
      <c r="B36" s="19" t="s">
        <v>185</v>
      </c>
      <c r="C36" s="106" t="s">
        <v>24</v>
      </c>
      <c r="D36" s="106" t="s">
        <v>32</v>
      </c>
      <c r="E36" s="107" t="s">
        <v>34</v>
      </c>
      <c r="F36" s="107" t="s">
        <v>36</v>
      </c>
      <c r="G36" s="107" t="s">
        <v>37</v>
      </c>
      <c r="H36" s="110" t="s">
        <v>38</v>
      </c>
      <c r="I36" s="111" t="s">
        <v>34</v>
      </c>
      <c r="J36" s="112" t="s">
        <v>36</v>
      </c>
      <c r="K36" s="113" t="s">
        <v>37</v>
      </c>
      <c r="M36" s="114" t="s">
        <v>186</v>
      </c>
      <c r="N36" s="106" t="s">
        <v>24</v>
      </c>
      <c r="O36" s="106" t="s">
        <v>32</v>
      </c>
      <c r="P36" s="107"/>
      <c r="Q36" s="107" t="s">
        <v>34</v>
      </c>
      <c r="R36" s="107" t="s">
        <v>36</v>
      </c>
      <c r="S36" s="107" t="s">
        <v>37</v>
      </c>
      <c r="T36" s="110" t="s">
        <v>38</v>
      </c>
      <c r="U36" s="111" t="s">
        <v>34</v>
      </c>
      <c r="V36" s="112" t="s">
        <v>36</v>
      </c>
      <c r="W36" s="113" t="s">
        <v>37</v>
      </c>
      <c r="Y36" s="115"/>
      <c r="Z36" s="45"/>
      <c r="AA36" s="45"/>
      <c r="AB36" s="116"/>
      <c r="AC36" s="116"/>
      <c r="AD36" s="116"/>
      <c r="AE36" s="116"/>
      <c r="AF36" s="116"/>
      <c r="AG36" s="116"/>
      <c r="AH36" s="116"/>
    </row>
    <row r="37">
      <c r="B37" s="33" t="s">
        <v>187</v>
      </c>
      <c r="C37" s="66">
        <f t="shared" ref="C37:C43" si="13">E37*6+F37*3+G37*1+I37*5+J37*2</f>
        <v>33</v>
      </c>
      <c r="D37" s="56">
        <f t="shared" ref="D37:D43" si="14">if(sum(E37:K37)&gt;0,C37/sum(E37:K37),)</f>
        <v>4.714285714</v>
      </c>
      <c r="E37" s="88">
        <v>3.0</v>
      </c>
      <c r="F37" s="88">
        <v>1.0</v>
      </c>
      <c r="G37" s="67"/>
      <c r="H37" s="67"/>
      <c r="I37" s="87">
        <v>2.0</v>
      </c>
      <c r="J37" s="88">
        <v>1.0</v>
      </c>
      <c r="K37" s="117"/>
      <c r="M37" s="118" t="s">
        <v>188</v>
      </c>
      <c r="N37" s="66">
        <f t="shared" ref="N37:N43" si="15">Q37*6+R37*3+S37*1+U37*5+V37*2</f>
        <v>33</v>
      </c>
      <c r="O37" s="120">
        <f t="shared" ref="O37:O43" si="16">if(sum(Q37:W37)&gt;0,N37/sum(Q37:W37),)</f>
        <v>4.714285714</v>
      </c>
      <c r="P37" s="122"/>
      <c r="Q37" s="88">
        <v>3.0</v>
      </c>
      <c r="R37" s="88"/>
      <c r="S37" s="67"/>
      <c r="T37" s="88">
        <v>1.0</v>
      </c>
      <c r="U37" s="87">
        <v>3.0</v>
      </c>
      <c r="V37" s="67"/>
      <c r="W37" s="117"/>
      <c r="Y37" s="14"/>
    </row>
    <row r="38">
      <c r="B38" s="33" t="s">
        <v>189</v>
      </c>
      <c r="C38" s="55">
        <f t="shared" si="13"/>
        <v>28</v>
      </c>
      <c r="D38" s="48">
        <f t="shared" si="14"/>
        <v>4</v>
      </c>
      <c r="E38" s="14">
        <v>1.0</v>
      </c>
      <c r="F38" s="14">
        <v>2.0</v>
      </c>
      <c r="G38" s="14">
        <v>1.0</v>
      </c>
      <c r="I38" s="58">
        <v>3.0</v>
      </c>
      <c r="K38" s="60"/>
      <c r="M38" s="33" t="s">
        <v>190</v>
      </c>
      <c r="N38" s="55">
        <f t="shared" si="15"/>
        <v>25.5</v>
      </c>
      <c r="O38" s="125">
        <f t="shared" si="16"/>
        <v>3.642857143</v>
      </c>
      <c r="P38" s="126"/>
      <c r="Q38" s="14">
        <v>1.5</v>
      </c>
      <c r="R38" s="14">
        <v>2.5</v>
      </c>
      <c r="S38" s="14"/>
      <c r="U38" s="58">
        <v>1.0</v>
      </c>
      <c r="V38" s="14">
        <v>2.0</v>
      </c>
      <c r="W38" s="60"/>
      <c r="Y38" s="14"/>
      <c r="AB38" s="14"/>
    </row>
    <row r="39">
      <c r="B39" s="92" t="s">
        <v>191</v>
      </c>
      <c r="C39" s="71">
        <f t="shared" si="13"/>
        <v>28</v>
      </c>
      <c r="D39" s="64">
        <f t="shared" si="14"/>
        <v>4</v>
      </c>
      <c r="E39" s="50">
        <v>3.0</v>
      </c>
      <c r="F39" s="65"/>
      <c r="G39" s="50">
        <v>1.0</v>
      </c>
      <c r="H39" s="65"/>
      <c r="I39" s="72">
        <v>1.0</v>
      </c>
      <c r="J39" s="50">
        <v>2.0</v>
      </c>
      <c r="K39" s="83"/>
      <c r="M39" s="129" t="s">
        <v>192</v>
      </c>
      <c r="N39" s="71">
        <f t="shared" si="15"/>
        <v>25</v>
      </c>
      <c r="O39" s="131">
        <f t="shared" si="16"/>
        <v>3.571428571</v>
      </c>
      <c r="P39" s="126"/>
      <c r="Q39" s="50">
        <v>2.0</v>
      </c>
      <c r="R39" s="50">
        <v>2.0</v>
      </c>
      <c r="S39" s="65"/>
      <c r="T39" s="65"/>
      <c r="U39" s="72">
        <v>1.0</v>
      </c>
      <c r="V39" s="50">
        <v>1.0</v>
      </c>
      <c r="W39" s="51">
        <v>1.0</v>
      </c>
      <c r="Y39" s="14"/>
      <c r="AB39" s="14"/>
      <c r="AC39" s="14"/>
      <c r="AD39" s="14"/>
    </row>
    <row r="40">
      <c r="B40" s="33" t="s">
        <v>193</v>
      </c>
      <c r="C40" s="85">
        <f t="shared" si="13"/>
        <v>13</v>
      </c>
      <c r="D40" s="48">
        <f t="shared" si="14"/>
        <v>1.857142857</v>
      </c>
      <c r="F40" s="14">
        <v>1.0</v>
      </c>
      <c r="G40" s="14">
        <v>3.0</v>
      </c>
      <c r="H40" s="60"/>
      <c r="I40" s="58">
        <v>1.0</v>
      </c>
      <c r="J40" s="14">
        <v>1.0</v>
      </c>
      <c r="K40" s="57">
        <v>1.0</v>
      </c>
      <c r="M40" s="59" t="s">
        <v>194</v>
      </c>
      <c r="N40" s="85">
        <f t="shared" si="15"/>
        <v>13.5</v>
      </c>
      <c r="O40" s="125">
        <f t="shared" si="16"/>
        <v>1.928571429</v>
      </c>
      <c r="P40" s="126"/>
      <c r="Q40" s="14">
        <v>0.5</v>
      </c>
      <c r="R40" s="14">
        <v>1.5</v>
      </c>
      <c r="S40" s="14">
        <v>2.0</v>
      </c>
      <c r="T40" s="60"/>
      <c r="U40" s="55"/>
      <c r="V40" s="14">
        <v>2.0</v>
      </c>
      <c r="W40" s="57">
        <v>1.0</v>
      </c>
      <c r="Y40" s="14"/>
    </row>
    <row r="41">
      <c r="B41" s="92" t="s">
        <v>195</v>
      </c>
      <c r="C41" s="89">
        <f t="shared" si="13"/>
        <v>13</v>
      </c>
      <c r="D41" s="64">
        <f t="shared" si="14"/>
        <v>1.857142857</v>
      </c>
      <c r="E41" s="50"/>
      <c r="F41" s="50">
        <v>3.0</v>
      </c>
      <c r="G41" s="65"/>
      <c r="H41" s="51">
        <v>1.0</v>
      </c>
      <c r="I41" s="55"/>
      <c r="J41" s="14">
        <v>2.0</v>
      </c>
      <c r="K41" s="57">
        <v>1.0</v>
      </c>
      <c r="M41" s="70" t="s">
        <v>196</v>
      </c>
      <c r="N41" s="85">
        <f t="shared" si="15"/>
        <v>9</v>
      </c>
      <c r="O41" s="131">
        <f t="shared" si="16"/>
        <v>1.285714286</v>
      </c>
      <c r="P41" s="126"/>
      <c r="Q41" s="50"/>
      <c r="R41" s="65"/>
      <c r="S41" s="50">
        <v>2.0</v>
      </c>
      <c r="T41" s="51">
        <v>2.0</v>
      </c>
      <c r="U41" s="58">
        <v>1.0</v>
      </c>
      <c r="V41" s="14">
        <v>1.0</v>
      </c>
      <c r="W41" s="57">
        <v>1.0</v>
      </c>
      <c r="Y41" s="14"/>
    </row>
    <row r="42">
      <c r="B42" s="59" t="s">
        <v>197</v>
      </c>
      <c r="C42" s="60">
        <f t="shared" si="13"/>
        <v>4</v>
      </c>
      <c r="D42" s="48">
        <f t="shared" si="14"/>
        <v>0.5714285714</v>
      </c>
      <c r="G42" s="14">
        <v>2.0</v>
      </c>
      <c r="H42" s="57">
        <v>2.0</v>
      </c>
      <c r="I42" s="66"/>
      <c r="J42" s="88">
        <v>1.0</v>
      </c>
      <c r="K42" s="68">
        <v>2.0</v>
      </c>
      <c r="M42" s="59" t="s">
        <v>198</v>
      </c>
      <c r="N42" s="86">
        <f t="shared" si="15"/>
        <v>7</v>
      </c>
      <c r="O42" s="125">
        <f t="shared" si="16"/>
        <v>1</v>
      </c>
      <c r="P42" s="126"/>
      <c r="S42" s="14">
        <v>2.0</v>
      </c>
      <c r="T42" s="57">
        <v>2.0</v>
      </c>
      <c r="U42" s="87">
        <v>1.0</v>
      </c>
      <c r="V42" s="67"/>
      <c r="W42" s="68">
        <v>2.0</v>
      </c>
      <c r="Y42" s="14"/>
      <c r="AB42" s="14"/>
    </row>
    <row r="43">
      <c r="B43" s="70" t="s">
        <v>199</v>
      </c>
      <c r="C43" s="83">
        <f t="shared" si="13"/>
        <v>0</v>
      </c>
      <c r="D43" s="64">
        <f t="shared" si="14"/>
        <v>0</v>
      </c>
      <c r="E43" s="50"/>
      <c r="F43" s="65"/>
      <c r="G43" s="65"/>
      <c r="H43" s="51">
        <v>4.0</v>
      </c>
      <c r="I43" s="71"/>
      <c r="J43" s="65"/>
      <c r="K43" s="51">
        <v>3.0</v>
      </c>
      <c r="M43" s="70" t="s">
        <v>200</v>
      </c>
      <c r="N43" s="89">
        <f t="shared" si="15"/>
        <v>6</v>
      </c>
      <c r="O43" s="131">
        <f t="shared" si="16"/>
        <v>0.8571428571</v>
      </c>
      <c r="P43" s="133"/>
      <c r="Q43" s="50"/>
      <c r="R43" s="50">
        <v>1.0</v>
      </c>
      <c r="S43" s="50">
        <v>1.0</v>
      </c>
      <c r="T43" s="51">
        <v>2.0</v>
      </c>
      <c r="U43" s="71"/>
      <c r="V43" s="50">
        <v>1.0</v>
      </c>
      <c r="W43" s="51">
        <v>2.0</v>
      </c>
      <c r="Y43" s="14"/>
    </row>
    <row r="44">
      <c r="B44" s="73">
        <f>sum(C37:C43)/119</f>
        <v>1</v>
      </c>
      <c r="C44" s="15"/>
      <c r="D44" s="15"/>
      <c r="E44" s="74" t="s">
        <v>134</v>
      </c>
      <c r="F44" s="75"/>
      <c r="G44" s="75"/>
      <c r="H44" s="75"/>
      <c r="I44" s="75"/>
      <c r="J44" s="75"/>
      <c r="K44" s="76"/>
      <c r="M44" s="73">
        <f>sum(N37:N43)/119</f>
        <v>1</v>
      </c>
      <c r="N44" s="15"/>
      <c r="O44" s="15"/>
      <c r="P44" s="134"/>
      <c r="Q44" s="74" t="s">
        <v>134</v>
      </c>
      <c r="R44" s="75"/>
      <c r="S44" s="75"/>
      <c r="T44" s="75"/>
      <c r="U44" s="75"/>
      <c r="V44" s="75"/>
      <c r="W44" s="76"/>
    </row>
    <row r="45">
      <c r="B45" s="11"/>
      <c r="I45" s="78"/>
      <c r="J45" s="79"/>
      <c r="K45" s="79"/>
      <c r="L45" s="79"/>
      <c r="M45" s="11"/>
      <c r="N45" s="80"/>
      <c r="O45" s="80"/>
      <c r="P45" s="81"/>
      <c r="Q45" s="81"/>
      <c r="R45" s="80"/>
      <c r="S45" s="80"/>
      <c r="T45" s="80"/>
      <c r="U45" s="79"/>
      <c r="V45" s="79"/>
      <c r="W45" s="79"/>
      <c r="X45" s="79"/>
      <c r="Y45" s="11"/>
      <c r="Z45" s="80"/>
      <c r="AA45" s="80"/>
      <c r="AB45" s="81"/>
      <c r="AC45" s="80"/>
      <c r="AD45" s="80"/>
      <c r="AE45" s="80"/>
      <c r="AF45" s="79"/>
      <c r="AG45" s="79"/>
      <c r="AH45" s="79"/>
      <c r="AI45" s="79"/>
    </row>
    <row r="46">
      <c r="B46" s="14"/>
      <c r="M46" s="14"/>
    </row>
    <row r="47">
      <c r="B47" s="14"/>
      <c r="E47" s="14"/>
      <c r="M47" s="14"/>
      <c r="P47" s="14"/>
      <c r="Q47" s="14"/>
    </row>
    <row r="48">
      <c r="B48" s="14"/>
      <c r="E48" s="14"/>
      <c r="F48" s="14"/>
      <c r="G48" s="14"/>
      <c r="M48" s="14"/>
      <c r="P48" s="14"/>
      <c r="Q48" s="14"/>
      <c r="R48" s="14"/>
      <c r="S48" s="14"/>
    </row>
    <row r="49">
      <c r="B49" s="14"/>
      <c r="M49" s="14"/>
    </row>
  </sheetData>
  <mergeCells count="14">
    <mergeCell ref="B33:D33"/>
    <mergeCell ref="M33:O33"/>
    <mergeCell ref="Y33:AA33"/>
    <mergeCell ref="B34:H34"/>
    <mergeCell ref="B44:D44"/>
    <mergeCell ref="M44:O44"/>
    <mergeCell ref="B45:H45"/>
    <mergeCell ref="B1:H1"/>
    <mergeCell ref="M2:X2"/>
    <mergeCell ref="B11:D11"/>
    <mergeCell ref="B12:H12"/>
    <mergeCell ref="B22:D22"/>
    <mergeCell ref="M22:O22"/>
    <mergeCell ref="B23:H23"/>
  </mergeCells>
  <printOptions gridLines="1" horizontalCentered="1"/>
  <pageMargins bottom="0.75" footer="0.0" header="0.0" left="0.7" right="0.7" top="0.75"/>
  <pageSetup fitToHeight="0" cellComments="atEnd" orientation="portrait"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0"/>
    <col customWidth="1" min="2" max="2" width="10.75"/>
    <col customWidth="1" min="3" max="3" width="5.25"/>
    <col customWidth="1" min="4" max="4" width="10.75"/>
    <col customWidth="1" min="5" max="5" width="5.25"/>
    <col customWidth="1" min="6" max="6" width="10.75"/>
    <col customWidth="1" min="7" max="7" width="5.25"/>
    <col customWidth="1" min="8" max="8" width="10.75"/>
    <col customWidth="1" min="9" max="9" width="5.25"/>
    <col customWidth="1" min="10" max="10" width="10.75"/>
    <col customWidth="1" min="11" max="11" width="5.25"/>
    <col customWidth="1" min="12" max="12" width="10.75"/>
    <col customWidth="1" min="13" max="13" width="5.25"/>
    <col customWidth="1" min="14" max="14" width="10.75"/>
    <col customWidth="1" min="15" max="15" width="5.25"/>
    <col customWidth="1" min="16" max="16" width="10.75"/>
    <col customWidth="1" min="17" max="17" width="5.25"/>
    <col customWidth="1" min="18" max="18" width="10.75"/>
    <col customWidth="1" min="19" max="20" width="5.25"/>
    <col customWidth="1" min="21" max="23" width="6.0"/>
  </cols>
  <sheetData>
    <row r="1">
      <c r="A1" s="8"/>
      <c r="B1" s="10"/>
      <c r="C1" s="10"/>
      <c r="D1" s="10"/>
      <c r="E1" s="10"/>
      <c r="F1" s="10"/>
      <c r="G1" s="10"/>
      <c r="H1" s="10"/>
    </row>
    <row r="2">
      <c r="B2" s="13" t="s">
        <v>10</v>
      </c>
      <c r="C2" s="15"/>
      <c r="D2" s="15"/>
      <c r="E2" s="15"/>
      <c r="F2" s="15"/>
      <c r="G2" s="15"/>
      <c r="H2" s="15"/>
      <c r="I2" s="15"/>
      <c r="J2" s="15"/>
      <c r="K2" s="15"/>
      <c r="L2" s="15"/>
      <c r="M2" s="15"/>
      <c r="N2" s="15"/>
      <c r="O2" s="20"/>
    </row>
    <row r="3">
      <c r="B3" s="22">
        <v>43226.0</v>
      </c>
      <c r="C3" s="20"/>
      <c r="D3" s="22">
        <f>B3+7</f>
        <v>43233</v>
      </c>
      <c r="E3" s="20"/>
      <c r="F3" s="22">
        <f>D3+7</f>
        <v>43240</v>
      </c>
      <c r="G3" s="20"/>
      <c r="H3" s="22">
        <f>F3+7</f>
        <v>43247</v>
      </c>
      <c r="I3" s="20"/>
      <c r="J3" s="22">
        <f>H3+7</f>
        <v>43254</v>
      </c>
      <c r="K3" s="20"/>
      <c r="L3" s="22">
        <f>J3+7</f>
        <v>43261</v>
      </c>
      <c r="M3" s="20"/>
      <c r="N3" s="22">
        <f>L3+7</f>
        <v>43268</v>
      </c>
      <c r="O3" s="20"/>
    </row>
    <row r="4">
      <c r="A4" s="36"/>
      <c r="B4" s="37" t="s">
        <v>70</v>
      </c>
      <c r="C4" s="20"/>
      <c r="D4" s="37" t="s">
        <v>74</v>
      </c>
      <c r="E4" s="20"/>
      <c r="F4" s="37" t="s">
        <v>76</v>
      </c>
      <c r="G4" s="20"/>
      <c r="H4" s="37" t="s">
        <v>78</v>
      </c>
      <c r="I4" s="20"/>
      <c r="J4" s="37" t="s">
        <v>80</v>
      </c>
      <c r="K4" s="20"/>
      <c r="L4" s="37" t="s">
        <v>82</v>
      </c>
      <c r="M4" s="20"/>
      <c r="N4" s="37" t="s">
        <v>86</v>
      </c>
      <c r="O4" s="20"/>
    </row>
    <row r="5">
      <c r="A5" s="41"/>
      <c r="B5" s="42" t="s">
        <v>56</v>
      </c>
      <c r="C5" s="43">
        <v>158.0</v>
      </c>
      <c r="D5" s="46" t="str">
        <f>B8</f>
        <v>AaronGreen</v>
      </c>
      <c r="E5" s="43">
        <v>171.0</v>
      </c>
      <c r="F5" s="46" t="str">
        <f>B12</f>
        <v>Grogmir</v>
      </c>
      <c r="G5" s="43">
        <v>157.0</v>
      </c>
      <c r="H5" s="46" t="str">
        <f>B11</f>
        <v>JCleek</v>
      </c>
      <c r="I5" s="43">
        <v>0.0</v>
      </c>
      <c r="J5" s="46" t="str">
        <f>B6</f>
        <v>Palino</v>
      </c>
      <c r="K5" s="43">
        <v>186.0</v>
      </c>
      <c r="L5" s="46" t="str">
        <f>B10</f>
        <v>Toper</v>
      </c>
      <c r="M5" s="43">
        <v>186.0</v>
      </c>
      <c r="N5" s="46" t="str">
        <f t="shared" ref="N5:N6" si="1">B7</f>
        <v>BlixLT</v>
      </c>
      <c r="O5" s="43">
        <v>227.0</v>
      </c>
    </row>
    <row r="6">
      <c r="A6" s="41"/>
      <c r="B6" s="42" t="s">
        <v>102</v>
      </c>
      <c r="C6" s="43">
        <v>107.0</v>
      </c>
      <c r="D6" s="46" t="str">
        <f>B5</f>
        <v>LeonC</v>
      </c>
      <c r="E6" s="43">
        <v>141.0</v>
      </c>
      <c r="F6" s="46" t="str">
        <f>B6</f>
        <v>Palino</v>
      </c>
      <c r="G6" s="43">
        <v>147.0</v>
      </c>
      <c r="H6" s="46" t="str">
        <f>B7</f>
        <v>BlixLT</v>
      </c>
      <c r="I6" s="43">
        <v>213.0</v>
      </c>
      <c r="J6" s="46" t="str">
        <f>B8</f>
        <v>AaronGreen</v>
      </c>
      <c r="K6" s="43">
        <v>234.0</v>
      </c>
      <c r="L6" s="46" t="str">
        <f>B7</f>
        <v>BlixLT</v>
      </c>
      <c r="M6" s="43">
        <v>171.0</v>
      </c>
      <c r="N6" s="46" t="str">
        <f t="shared" si="1"/>
        <v>AaronGreen</v>
      </c>
      <c r="O6" s="43">
        <v>294.0</v>
      </c>
    </row>
    <row r="7">
      <c r="A7" s="41"/>
      <c r="B7" s="42" t="s">
        <v>112</v>
      </c>
      <c r="C7" s="43">
        <v>103.0</v>
      </c>
      <c r="D7" s="46" t="str">
        <f t="shared" ref="D7:D8" si="2">B10</f>
        <v>Toper</v>
      </c>
      <c r="E7" s="43">
        <v>160.0</v>
      </c>
      <c r="F7" s="46" t="str">
        <f>B11</f>
        <v>JCleek</v>
      </c>
      <c r="G7" s="43">
        <v>202.0</v>
      </c>
      <c r="H7" s="46" t="str">
        <f>B10</f>
        <v>Toper</v>
      </c>
      <c r="I7" s="43">
        <v>214.0</v>
      </c>
      <c r="J7" s="46" t="str">
        <f>B10</f>
        <v>Toper</v>
      </c>
      <c r="K7" s="43">
        <v>245.0</v>
      </c>
      <c r="L7" s="46" t="str">
        <f>B5</f>
        <v>LeonC</v>
      </c>
      <c r="M7" s="43">
        <v>204.0</v>
      </c>
      <c r="N7" s="46" t="str">
        <f t="shared" ref="N7:N8" si="3">B11</f>
        <v>JCleek</v>
      </c>
      <c r="O7" s="43">
        <v>239.0</v>
      </c>
      <c r="T7" s="45"/>
      <c r="U7" s="36"/>
      <c r="V7" s="61"/>
      <c r="W7" s="45"/>
    </row>
    <row r="8">
      <c r="A8" s="41"/>
      <c r="B8" s="42" t="s">
        <v>105</v>
      </c>
      <c r="C8" s="62">
        <v>156.0</v>
      </c>
      <c r="D8" s="63" t="str">
        <f t="shared" si="2"/>
        <v>JCleek</v>
      </c>
      <c r="E8" s="62">
        <v>0.0</v>
      </c>
      <c r="F8" s="63" t="str">
        <f>B5</f>
        <v>LeonC</v>
      </c>
      <c r="G8" s="62">
        <v>153.0</v>
      </c>
      <c r="H8" s="63" t="str">
        <f>B6</f>
        <v>Palino</v>
      </c>
      <c r="I8" s="62">
        <v>219.0</v>
      </c>
      <c r="J8" s="63" t="str">
        <f>B12</f>
        <v>Grogmir</v>
      </c>
      <c r="K8" s="62">
        <v>288.0</v>
      </c>
      <c r="L8" s="63" t="str">
        <f>B12</f>
        <v>Grogmir</v>
      </c>
      <c r="M8" s="62">
        <v>169.0</v>
      </c>
      <c r="N8" s="63" t="str">
        <f t="shared" si="3"/>
        <v>Grogmir</v>
      </c>
      <c r="O8" s="62">
        <v>210.0</v>
      </c>
      <c r="U8" s="36"/>
      <c r="V8" s="61"/>
      <c r="W8" s="61"/>
    </row>
    <row r="9">
      <c r="A9" s="41"/>
      <c r="B9" s="69" t="s">
        <v>125</v>
      </c>
      <c r="C9" s="20"/>
      <c r="D9" s="37" t="s">
        <v>127</v>
      </c>
      <c r="E9" s="20"/>
      <c r="F9" s="37" t="s">
        <v>128</v>
      </c>
      <c r="G9" s="20"/>
      <c r="H9" s="37" t="s">
        <v>129</v>
      </c>
      <c r="I9" s="20"/>
      <c r="J9" s="37" t="s">
        <v>130</v>
      </c>
      <c r="K9" s="20"/>
      <c r="L9" s="37" t="s">
        <v>131</v>
      </c>
      <c r="M9" s="20"/>
      <c r="N9" s="37" t="s">
        <v>133</v>
      </c>
      <c r="O9" s="20"/>
    </row>
    <row r="10">
      <c r="A10" s="41"/>
      <c r="B10" s="42" t="s">
        <v>116</v>
      </c>
      <c r="C10" s="43">
        <v>204.0</v>
      </c>
      <c r="D10" s="46" t="str">
        <f t="shared" ref="D10:D11" si="4">B6</f>
        <v>Palino</v>
      </c>
      <c r="E10" s="43">
        <v>163.0</v>
      </c>
      <c r="F10" s="46" t="str">
        <f t="shared" ref="F10:F11" si="5">B7</f>
        <v>BlixLT</v>
      </c>
      <c r="G10" s="43">
        <v>100.0</v>
      </c>
      <c r="H10" s="46" t="str">
        <f>B12</f>
        <v>Grogmir</v>
      </c>
      <c r="I10" s="43">
        <v>92.0</v>
      </c>
      <c r="J10" s="46" t="str">
        <f>B11</f>
        <v>JCleek</v>
      </c>
      <c r="K10" s="43">
        <v>103.0</v>
      </c>
      <c r="L10" s="46" t="str">
        <f>B8</f>
        <v>AaronGreen</v>
      </c>
      <c r="M10" s="43">
        <v>130.0</v>
      </c>
      <c r="N10" s="46" t="str">
        <f t="shared" ref="N10:N11" si="6">B5</f>
        <v>LeonC</v>
      </c>
      <c r="O10" s="43">
        <v>171.0</v>
      </c>
    </row>
    <row r="11">
      <c r="A11" s="41"/>
      <c r="B11" s="42" t="s">
        <v>122</v>
      </c>
      <c r="C11" s="43">
        <v>182.0</v>
      </c>
      <c r="D11" s="46" t="str">
        <f t="shared" si="4"/>
        <v>BlixLT</v>
      </c>
      <c r="E11" s="43">
        <v>162.0</v>
      </c>
      <c r="F11" s="46" t="str">
        <f t="shared" si="5"/>
        <v>AaronGreen</v>
      </c>
      <c r="G11" s="43">
        <v>141.0</v>
      </c>
      <c r="H11" s="46" t="str">
        <f>B8</f>
        <v>AaronGreen</v>
      </c>
      <c r="I11" s="43">
        <v>102.0</v>
      </c>
      <c r="J11" s="46" t="str">
        <f>B7</f>
        <v>BlixLT</v>
      </c>
      <c r="K11" s="43">
        <v>108.0</v>
      </c>
      <c r="L11" s="46" t="str">
        <f>B6</f>
        <v>Palino</v>
      </c>
      <c r="M11" s="43">
        <v>160.0</v>
      </c>
      <c r="N11" s="46" t="str">
        <f t="shared" si="6"/>
        <v>Palino</v>
      </c>
      <c r="O11" s="43">
        <v>139.0</v>
      </c>
    </row>
    <row r="12">
      <c r="A12" s="41"/>
      <c r="B12" s="82" t="s">
        <v>124</v>
      </c>
      <c r="C12" s="62">
        <v>175.0</v>
      </c>
      <c r="D12" s="63" t="str">
        <f>B12</f>
        <v>Grogmir</v>
      </c>
      <c r="E12" s="62">
        <v>148.0</v>
      </c>
      <c r="F12" s="63" t="str">
        <f>B10</f>
        <v>Toper</v>
      </c>
      <c r="G12" s="62">
        <v>74.0</v>
      </c>
      <c r="H12" s="63" t="str">
        <f>B5</f>
        <v>LeonC</v>
      </c>
      <c r="I12" s="62">
        <v>121.0</v>
      </c>
      <c r="J12" s="63" t="str">
        <f>B5</f>
        <v>LeonC</v>
      </c>
      <c r="K12" s="62">
        <v>169.0</v>
      </c>
      <c r="L12" s="63" t="str">
        <f>B11</f>
        <v>JCleek</v>
      </c>
      <c r="M12" s="62">
        <v>80.0</v>
      </c>
      <c r="N12" s="63" t="str">
        <f>B10</f>
        <v>Toper</v>
      </c>
      <c r="O12" s="62">
        <v>175.0</v>
      </c>
    </row>
    <row r="13">
      <c r="A13" s="41"/>
    </row>
    <row r="14">
      <c r="A14" s="41"/>
      <c r="B14" s="13" t="s">
        <v>142</v>
      </c>
      <c r="C14" s="15"/>
      <c r="D14" s="15"/>
      <c r="E14" s="15"/>
      <c r="F14" s="15"/>
      <c r="G14" s="15"/>
      <c r="H14" s="15"/>
      <c r="I14" s="15"/>
      <c r="J14" s="15"/>
      <c r="K14" s="15"/>
      <c r="L14" s="15"/>
      <c r="M14" s="15"/>
      <c r="N14" s="15"/>
      <c r="O14" s="20"/>
    </row>
    <row r="15">
      <c r="B15" s="22">
        <f>B3</f>
        <v>43226</v>
      </c>
      <c r="C15" s="20"/>
      <c r="D15" s="22">
        <f>B15+7</f>
        <v>43233</v>
      </c>
      <c r="E15" s="20"/>
      <c r="F15" s="22">
        <f>D15+7</f>
        <v>43240</v>
      </c>
      <c r="G15" s="20"/>
      <c r="H15" s="22">
        <f>F15+7</f>
        <v>43247</v>
      </c>
      <c r="I15" s="20"/>
      <c r="J15" s="22">
        <f>H15+7</f>
        <v>43254</v>
      </c>
      <c r="K15" s="20"/>
      <c r="L15" s="22">
        <f>J15+7</f>
        <v>43261</v>
      </c>
      <c r="M15" s="20"/>
      <c r="N15" s="22">
        <f>L15+7</f>
        <v>43268</v>
      </c>
      <c r="O15" s="20"/>
    </row>
    <row r="16">
      <c r="A16" s="36"/>
      <c r="B16" s="37" t="s">
        <v>70</v>
      </c>
      <c r="C16" s="20"/>
      <c r="D16" s="37" t="s">
        <v>74</v>
      </c>
      <c r="E16" s="20"/>
      <c r="F16" s="37" t="s">
        <v>76</v>
      </c>
      <c r="G16" s="20"/>
      <c r="H16" s="37" t="s">
        <v>78</v>
      </c>
      <c r="I16" s="20"/>
      <c r="J16" s="37" t="s">
        <v>80</v>
      </c>
      <c r="K16" s="20"/>
      <c r="L16" s="37" t="s">
        <v>82</v>
      </c>
      <c r="M16" s="20"/>
      <c r="N16" s="37" t="s">
        <v>86</v>
      </c>
      <c r="O16" s="20"/>
    </row>
    <row r="17">
      <c r="A17" s="41"/>
      <c r="B17" s="42" t="s">
        <v>141</v>
      </c>
      <c r="C17" s="43">
        <v>179.0</v>
      </c>
      <c r="D17" s="46" t="str">
        <f>B20</f>
        <v>Wartin</v>
      </c>
      <c r="E17" s="43">
        <v>188.0</v>
      </c>
      <c r="F17" s="46" t="str">
        <f>B24</f>
        <v>albinsix</v>
      </c>
      <c r="G17" s="43">
        <v>96.0</v>
      </c>
      <c r="H17" s="46" t="str">
        <f>B23</f>
        <v>Cefrebunda</v>
      </c>
      <c r="I17" s="43">
        <v>117.0</v>
      </c>
      <c r="J17" s="46" t="str">
        <f>B18</f>
        <v>FlyingDutchman</v>
      </c>
      <c r="K17" s="43">
        <v>156.0</v>
      </c>
      <c r="L17" s="46" t="str">
        <f>B22</f>
        <v>Andras</v>
      </c>
      <c r="M17" s="43">
        <v>0.0</v>
      </c>
      <c r="N17" s="46" t="str">
        <f t="shared" ref="N17:N18" si="7">B19</f>
        <v>GregoryD</v>
      </c>
      <c r="O17" s="43">
        <v>184.0</v>
      </c>
    </row>
    <row r="18">
      <c r="A18" s="41"/>
      <c r="B18" s="42" t="s">
        <v>144</v>
      </c>
      <c r="C18" s="43">
        <v>102.0</v>
      </c>
      <c r="D18" s="46" t="str">
        <f>B17</f>
        <v>Frotes</v>
      </c>
      <c r="E18" s="43">
        <v>166.0</v>
      </c>
      <c r="F18" s="46" t="str">
        <f>B18</f>
        <v>FlyingDutchman</v>
      </c>
      <c r="G18" s="43">
        <v>211.0</v>
      </c>
      <c r="H18" s="46" t="str">
        <f>B19</f>
        <v>GregoryD</v>
      </c>
      <c r="I18" s="43">
        <v>230.0</v>
      </c>
      <c r="J18" s="46" t="str">
        <f>B20</f>
        <v>Wartin</v>
      </c>
      <c r="K18" s="43">
        <v>114.0</v>
      </c>
      <c r="L18" s="46" t="str">
        <f>B19</f>
        <v>GregoryD</v>
      </c>
      <c r="M18" s="43">
        <v>195.0</v>
      </c>
      <c r="N18" s="46" t="str">
        <f t="shared" si="7"/>
        <v>Wartin</v>
      </c>
      <c r="O18" s="43">
        <v>164.0</v>
      </c>
    </row>
    <row r="19">
      <c r="A19" s="41"/>
      <c r="B19" s="42" t="s">
        <v>146</v>
      </c>
      <c r="C19" s="43">
        <v>154.0</v>
      </c>
      <c r="D19" s="46" t="str">
        <f t="shared" ref="D19:D20" si="8">B22</f>
        <v>Andras</v>
      </c>
      <c r="E19" s="43">
        <v>149.0</v>
      </c>
      <c r="F19" s="46" t="str">
        <f>B23</f>
        <v>Cefrebunda</v>
      </c>
      <c r="G19" s="43">
        <v>124.0</v>
      </c>
      <c r="H19" s="46" t="str">
        <f>B22</f>
        <v>Andras</v>
      </c>
      <c r="I19" s="43">
        <v>147.0</v>
      </c>
      <c r="J19" s="46" t="str">
        <f>B22</f>
        <v>Andras</v>
      </c>
      <c r="K19" s="43">
        <v>112.0</v>
      </c>
      <c r="L19" s="46" t="str">
        <f>B17</f>
        <v>Frotes</v>
      </c>
      <c r="M19" s="43">
        <v>223.0</v>
      </c>
      <c r="N19" s="46" t="str">
        <f t="shared" ref="N19:N20" si="9">B23</f>
        <v>Cefrebunda</v>
      </c>
      <c r="O19" s="43">
        <v>180.0</v>
      </c>
    </row>
    <row r="20">
      <c r="A20" s="41"/>
      <c r="B20" s="42" t="s">
        <v>150</v>
      </c>
      <c r="C20" s="62">
        <v>154.0</v>
      </c>
      <c r="D20" s="63" t="str">
        <f t="shared" si="8"/>
        <v>Cefrebunda</v>
      </c>
      <c r="E20" s="62">
        <v>104.0</v>
      </c>
      <c r="F20" s="63" t="str">
        <f>B17</f>
        <v>Frotes</v>
      </c>
      <c r="G20" s="62">
        <v>185.0</v>
      </c>
      <c r="H20" s="63" t="str">
        <f>B18</f>
        <v>FlyingDutchman</v>
      </c>
      <c r="I20" s="62">
        <v>191.0</v>
      </c>
      <c r="J20" s="63" t="str">
        <f>B24</f>
        <v>albinsix</v>
      </c>
      <c r="K20" s="62">
        <v>124.0</v>
      </c>
      <c r="L20" s="63" t="str">
        <f>B24</f>
        <v>albinsix</v>
      </c>
      <c r="M20" s="62">
        <v>111.0</v>
      </c>
      <c r="N20" s="63" t="str">
        <f t="shared" si="9"/>
        <v>albinsix</v>
      </c>
      <c r="O20" s="62">
        <v>188.0</v>
      </c>
    </row>
    <row r="21">
      <c r="A21" s="41"/>
      <c r="B21" s="69" t="s">
        <v>125</v>
      </c>
      <c r="C21" s="20"/>
      <c r="D21" s="37" t="s">
        <v>127</v>
      </c>
      <c r="E21" s="20"/>
      <c r="F21" s="37" t="s">
        <v>128</v>
      </c>
      <c r="G21" s="20"/>
      <c r="H21" s="37" t="s">
        <v>129</v>
      </c>
      <c r="I21" s="20"/>
      <c r="J21" s="37" t="s">
        <v>130</v>
      </c>
      <c r="K21" s="20"/>
      <c r="L21" s="37" t="s">
        <v>131</v>
      </c>
      <c r="M21" s="20"/>
      <c r="N21" s="37" t="s">
        <v>133</v>
      </c>
      <c r="O21" s="20"/>
    </row>
    <row r="22">
      <c r="A22" s="41"/>
      <c r="B22" s="93" t="s">
        <v>152</v>
      </c>
      <c r="C22" s="94">
        <v>154.0</v>
      </c>
      <c r="D22" s="46" t="str">
        <f t="shared" ref="D22:D23" si="10">B18</f>
        <v>FlyingDutchman</v>
      </c>
      <c r="E22" s="43">
        <v>167.0</v>
      </c>
      <c r="F22" s="46" t="str">
        <f t="shared" ref="F22:F23" si="11">B19</f>
        <v>GregoryD</v>
      </c>
      <c r="G22" s="43">
        <v>138.0</v>
      </c>
      <c r="H22" s="46" t="str">
        <f>B24</f>
        <v>albinsix</v>
      </c>
      <c r="I22" s="43">
        <v>99.0</v>
      </c>
      <c r="J22" s="46" t="str">
        <f>B23</f>
        <v>Cefrebunda</v>
      </c>
      <c r="K22" s="43">
        <v>103.0</v>
      </c>
      <c r="L22" s="46" t="str">
        <f>B20</f>
        <v>Wartin</v>
      </c>
      <c r="M22" s="43">
        <v>146.0</v>
      </c>
      <c r="N22" s="46" t="str">
        <f t="shared" ref="N22:N23" si="12">B17</f>
        <v>Frotes</v>
      </c>
      <c r="O22" s="43">
        <v>189.0</v>
      </c>
    </row>
    <row r="23">
      <c r="A23" s="41"/>
      <c r="B23" s="42" t="s">
        <v>154</v>
      </c>
      <c r="C23" s="43">
        <v>103.0</v>
      </c>
      <c r="D23" s="46" t="str">
        <f t="shared" si="10"/>
        <v>GregoryD</v>
      </c>
      <c r="E23" s="43">
        <v>150.0</v>
      </c>
      <c r="F23" s="46" t="str">
        <f t="shared" si="11"/>
        <v>Wartin</v>
      </c>
      <c r="G23" s="43">
        <v>98.0</v>
      </c>
      <c r="H23" s="46" t="str">
        <f>B20</f>
        <v>Wartin</v>
      </c>
      <c r="I23" s="43">
        <v>0.0</v>
      </c>
      <c r="J23" s="46" t="str">
        <f>B19</f>
        <v>GregoryD</v>
      </c>
      <c r="K23" s="43">
        <v>97.0</v>
      </c>
      <c r="L23" s="46" t="str">
        <f>B18</f>
        <v>FlyingDutchman</v>
      </c>
      <c r="M23" s="43">
        <v>190.0</v>
      </c>
      <c r="N23" s="46" t="str">
        <f t="shared" si="12"/>
        <v>FlyingDutchman</v>
      </c>
      <c r="O23" s="43">
        <v>77.0</v>
      </c>
    </row>
    <row r="24">
      <c r="A24" s="41"/>
      <c r="B24" s="82" t="s">
        <v>148</v>
      </c>
      <c r="C24" s="62">
        <v>123.0</v>
      </c>
      <c r="D24" s="63" t="str">
        <f>B24</f>
        <v>albinsix</v>
      </c>
      <c r="E24" s="62">
        <v>108.0</v>
      </c>
      <c r="F24" s="63" t="str">
        <f>B22</f>
        <v>Andras</v>
      </c>
      <c r="G24" s="62">
        <v>110.0</v>
      </c>
      <c r="H24" s="63" t="str">
        <f>B17</f>
        <v>Frotes</v>
      </c>
      <c r="I24" s="62">
        <v>106.0</v>
      </c>
      <c r="J24" s="63" t="str">
        <f>B17</f>
        <v>Frotes</v>
      </c>
      <c r="K24" s="62">
        <v>184.0</v>
      </c>
      <c r="L24" s="63" t="str">
        <f>B23</f>
        <v>Cefrebunda</v>
      </c>
      <c r="M24" s="62">
        <v>68.0</v>
      </c>
      <c r="N24" s="63" t="str">
        <f>B22</f>
        <v>Andras</v>
      </c>
      <c r="O24" s="43">
        <v>0.0</v>
      </c>
    </row>
    <row r="25">
      <c r="A25" s="41"/>
    </row>
    <row r="26">
      <c r="A26" s="95"/>
      <c r="B26" s="13" t="s">
        <v>169</v>
      </c>
      <c r="C26" s="15"/>
      <c r="D26" s="15"/>
      <c r="E26" s="15"/>
      <c r="F26" s="15"/>
      <c r="G26" s="15"/>
      <c r="H26" s="15"/>
      <c r="I26" s="15"/>
      <c r="J26" s="15"/>
      <c r="K26" s="15"/>
      <c r="L26" s="15"/>
      <c r="M26" s="15"/>
      <c r="N26" s="15"/>
      <c r="O26" s="20"/>
    </row>
    <row r="27">
      <c r="A27" s="96"/>
      <c r="B27" s="97">
        <f>B3</f>
        <v>43226</v>
      </c>
      <c r="C27" s="20"/>
      <c r="D27" s="97">
        <f>B27+7</f>
        <v>43233</v>
      </c>
      <c r="E27" s="20"/>
      <c r="F27" s="97">
        <f>D27+7</f>
        <v>43240</v>
      </c>
      <c r="G27" s="20"/>
      <c r="H27" s="97">
        <f>F27+7</f>
        <v>43247</v>
      </c>
      <c r="I27" s="20"/>
      <c r="J27" s="97">
        <f>H27+7</f>
        <v>43254</v>
      </c>
      <c r="K27" s="20"/>
      <c r="L27" s="97">
        <f>J27+7</f>
        <v>43261</v>
      </c>
      <c r="M27" s="20"/>
      <c r="N27" s="97">
        <f>L27+7</f>
        <v>43268</v>
      </c>
      <c r="O27" s="20"/>
    </row>
    <row r="28">
      <c r="A28" s="99"/>
      <c r="B28" s="100" t="s">
        <v>70</v>
      </c>
      <c r="C28" s="20"/>
      <c r="D28" s="100" t="s">
        <v>74</v>
      </c>
      <c r="E28" s="20"/>
      <c r="F28" s="100" t="s">
        <v>76</v>
      </c>
      <c r="G28" s="20"/>
      <c r="H28" s="100" t="s">
        <v>78</v>
      </c>
      <c r="I28" s="20"/>
      <c r="J28" s="100" t="s">
        <v>80</v>
      </c>
      <c r="K28" s="20"/>
      <c r="L28" s="100" t="s">
        <v>82</v>
      </c>
      <c r="M28" s="20"/>
      <c r="N28" s="100" t="s">
        <v>86</v>
      </c>
      <c r="O28" s="20"/>
    </row>
    <row r="29">
      <c r="A29" s="96"/>
      <c r="B29" s="101" t="s">
        <v>147</v>
      </c>
      <c r="C29" s="102">
        <v>169.0</v>
      </c>
      <c r="D29" s="103" t="str">
        <f>B32</f>
        <v>ChipsAhoya</v>
      </c>
      <c r="E29" s="104">
        <v>184.0</v>
      </c>
      <c r="F29" s="105" t="str">
        <f>B36</f>
        <v>norkle</v>
      </c>
      <c r="G29" s="104">
        <v>198.0</v>
      </c>
      <c r="H29" s="105" t="str">
        <f>B35</f>
        <v>Greenilocks</v>
      </c>
      <c r="I29" s="104">
        <v>225.0</v>
      </c>
      <c r="J29" s="105" t="str">
        <f>B30</f>
        <v>Aquir</v>
      </c>
      <c r="K29" s="104">
        <v>171.0</v>
      </c>
      <c r="L29" s="105" t="str">
        <f>B34</f>
        <v>nachof</v>
      </c>
      <c r="M29" s="104">
        <v>155.0</v>
      </c>
      <c r="N29" s="105" t="str">
        <f t="shared" ref="N29:N30" si="13">B31</f>
        <v>jamiu5</v>
      </c>
      <c r="O29" s="104">
        <v>186.0</v>
      </c>
    </row>
    <row r="30">
      <c r="A30" s="96"/>
      <c r="B30" s="101" t="s">
        <v>145</v>
      </c>
      <c r="C30" s="102">
        <v>155.0</v>
      </c>
      <c r="D30" s="108" t="str">
        <f>B29</f>
        <v>qhung49</v>
      </c>
      <c r="E30" s="109">
        <v>202.0</v>
      </c>
      <c r="F30" s="101" t="str">
        <f>B30</f>
        <v>Aquir</v>
      </c>
      <c r="G30" s="109">
        <v>247.0</v>
      </c>
      <c r="H30" s="101" t="str">
        <f>B31</f>
        <v>jamiu5</v>
      </c>
      <c r="I30" s="109">
        <v>275.0</v>
      </c>
      <c r="J30" s="101" t="str">
        <f>B32</f>
        <v>ChipsAhoya</v>
      </c>
      <c r="K30" s="109">
        <v>182.0</v>
      </c>
      <c r="L30" s="101" t="str">
        <f>B31</f>
        <v>jamiu5</v>
      </c>
      <c r="M30" s="109">
        <v>0.0</v>
      </c>
      <c r="N30" s="101" t="str">
        <f t="shared" si="13"/>
        <v>ChipsAhoya</v>
      </c>
      <c r="O30" s="109">
        <v>232.0</v>
      </c>
    </row>
    <row r="31">
      <c r="A31" s="96"/>
      <c r="B31" s="101" t="s">
        <v>151</v>
      </c>
      <c r="C31" s="102">
        <v>144.0</v>
      </c>
      <c r="D31" s="108" t="str">
        <f t="shared" ref="D31:D32" si="14">B34</f>
        <v>nachof</v>
      </c>
      <c r="E31" s="109">
        <v>106.0</v>
      </c>
      <c r="F31" s="101" t="str">
        <f>B35</f>
        <v>Greenilocks</v>
      </c>
      <c r="G31" s="109">
        <v>232.0</v>
      </c>
      <c r="H31" s="101" t="str">
        <f>B34</f>
        <v>nachof</v>
      </c>
      <c r="I31" s="109">
        <v>198.0</v>
      </c>
      <c r="J31" s="101" t="str">
        <f>B34</f>
        <v>nachof</v>
      </c>
      <c r="K31" s="109">
        <v>103.0</v>
      </c>
      <c r="L31" s="101" t="str">
        <f>B29</f>
        <v>qhung49</v>
      </c>
      <c r="M31" s="109">
        <v>191.0</v>
      </c>
      <c r="N31" s="101" t="str">
        <f t="shared" ref="N31:N32" si="15">B35</f>
        <v>Greenilocks</v>
      </c>
      <c r="O31" s="109">
        <v>130.0</v>
      </c>
    </row>
    <row r="32">
      <c r="A32" s="96"/>
      <c r="B32" s="101" t="s">
        <v>143</v>
      </c>
      <c r="C32" s="119">
        <v>178.0</v>
      </c>
      <c r="D32" s="121" t="str">
        <f t="shared" si="14"/>
        <v>Greenilocks</v>
      </c>
      <c r="E32" s="123">
        <v>101.0</v>
      </c>
      <c r="F32" s="124" t="str">
        <f>B29</f>
        <v>qhung49</v>
      </c>
      <c r="G32" s="123">
        <v>215.0</v>
      </c>
      <c r="H32" s="124" t="str">
        <f>B30</f>
        <v>Aquir</v>
      </c>
      <c r="I32" s="123">
        <v>310.0</v>
      </c>
      <c r="J32" s="124" t="str">
        <f>B36</f>
        <v>norkle</v>
      </c>
      <c r="K32" s="123">
        <v>108.0</v>
      </c>
      <c r="L32" s="124" t="str">
        <f>B36</f>
        <v>norkle</v>
      </c>
      <c r="M32" s="123">
        <v>189.0</v>
      </c>
      <c r="N32" s="124" t="str">
        <f t="shared" si="15"/>
        <v>norkle</v>
      </c>
      <c r="O32" s="123">
        <v>0.0</v>
      </c>
    </row>
    <row r="33">
      <c r="A33" s="96"/>
      <c r="B33" s="127" t="s">
        <v>125</v>
      </c>
      <c r="C33" s="20"/>
      <c r="D33" s="128" t="s">
        <v>127</v>
      </c>
      <c r="E33" s="83"/>
      <c r="F33" s="130" t="s">
        <v>128</v>
      </c>
      <c r="G33" s="83"/>
      <c r="H33" s="130" t="s">
        <v>129</v>
      </c>
      <c r="I33" s="83"/>
      <c r="J33" s="130" t="s">
        <v>130</v>
      </c>
      <c r="K33" s="83"/>
      <c r="L33" s="130" t="s">
        <v>131</v>
      </c>
      <c r="M33" s="83"/>
      <c r="N33" s="130" t="s">
        <v>133</v>
      </c>
      <c r="O33" s="83"/>
    </row>
    <row r="34">
      <c r="A34" s="96"/>
      <c r="B34" s="103" t="s">
        <v>149</v>
      </c>
      <c r="C34" s="132">
        <v>170.0</v>
      </c>
      <c r="D34" s="108" t="str">
        <f t="shared" ref="D34:D35" si="16">B30</f>
        <v>Aquir</v>
      </c>
      <c r="E34" s="109">
        <v>164.0</v>
      </c>
      <c r="F34" s="101" t="str">
        <f t="shared" ref="F34:F35" si="17">B31</f>
        <v>jamiu5</v>
      </c>
      <c r="G34" s="109">
        <v>205.0</v>
      </c>
      <c r="H34" s="101" t="str">
        <f>B36</f>
        <v>norkle</v>
      </c>
      <c r="I34" s="109">
        <v>90.0</v>
      </c>
      <c r="J34" s="101" t="str">
        <f>B35</f>
        <v>Greenilocks</v>
      </c>
      <c r="K34" s="109">
        <v>166.0</v>
      </c>
      <c r="L34" s="101" t="str">
        <f>B32</f>
        <v>ChipsAhoya</v>
      </c>
      <c r="M34" s="109">
        <v>183.0</v>
      </c>
      <c r="N34" s="101" t="str">
        <f t="shared" ref="N34:N35" si="18">B29</f>
        <v>qhung49</v>
      </c>
      <c r="O34" s="109">
        <v>40.0</v>
      </c>
    </row>
    <row r="35">
      <c r="A35" s="96"/>
      <c r="B35" s="108" t="s">
        <v>155</v>
      </c>
      <c r="C35" s="102">
        <v>163.0</v>
      </c>
      <c r="D35" s="108" t="str">
        <f t="shared" si="16"/>
        <v>jamiu5</v>
      </c>
      <c r="E35" s="109">
        <v>155.0</v>
      </c>
      <c r="F35" s="101" t="str">
        <f t="shared" si="17"/>
        <v>ChipsAhoya</v>
      </c>
      <c r="G35" s="109">
        <v>195.0</v>
      </c>
      <c r="H35" s="101" t="str">
        <f>B32</f>
        <v>ChipsAhoya</v>
      </c>
      <c r="I35" s="109">
        <v>153.0</v>
      </c>
      <c r="J35" s="101" t="str">
        <f>B31</f>
        <v>jamiu5</v>
      </c>
      <c r="K35" s="109">
        <v>150.0</v>
      </c>
      <c r="L35" s="101" t="str">
        <f>B30</f>
        <v>Aquir</v>
      </c>
      <c r="M35" s="109">
        <v>134.0</v>
      </c>
      <c r="N35" s="101" t="str">
        <f t="shared" si="18"/>
        <v>Aquir</v>
      </c>
      <c r="O35" s="109">
        <v>147.0</v>
      </c>
    </row>
    <row r="36">
      <c r="A36" s="96"/>
      <c r="B36" s="121" t="s">
        <v>153</v>
      </c>
      <c r="C36" s="119">
        <v>201.0</v>
      </c>
      <c r="D36" s="121" t="str">
        <f>B36</f>
        <v>norkle</v>
      </c>
      <c r="E36" s="123">
        <v>148.0</v>
      </c>
      <c r="F36" s="124" t="str">
        <f>B34</f>
        <v>nachof</v>
      </c>
      <c r="G36" s="123">
        <v>235.0</v>
      </c>
      <c r="H36" s="124" t="str">
        <f>B29</f>
        <v>qhung49</v>
      </c>
      <c r="I36" s="123">
        <v>153.0</v>
      </c>
      <c r="J36" s="124" t="str">
        <f>B29</f>
        <v>qhung49</v>
      </c>
      <c r="K36" s="123">
        <v>184.0</v>
      </c>
      <c r="L36" s="124" t="str">
        <f>B35</f>
        <v>Greenilocks</v>
      </c>
      <c r="M36" s="123">
        <v>168.0</v>
      </c>
      <c r="N36" s="124" t="str">
        <f>B34</f>
        <v>nachof</v>
      </c>
      <c r="O36" s="123">
        <v>91.0</v>
      </c>
    </row>
    <row r="37">
      <c r="A37" s="41"/>
    </row>
    <row r="38">
      <c r="A38" s="41"/>
      <c r="B38" s="13" t="s">
        <v>201</v>
      </c>
      <c r="C38" s="15"/>
      <c r="D38" s="15"/>
      <c r="E38" s="15"/>
      <c r="F38" s="15"/>
      <c r="G38" s="15"/>
      <c r="H38" s="15"/>
      <c r="I38" s="15"/>
      <c r="J38" s="15"/>
      <c r="K38" s="15"/>
      <c r="L38" s="15"/>
      <c r="M38" s="15"/>
      <c r="N38" s="15"/>
      <c r="O38" s="20"/>
    </row>
    <row r="39">
      <c r="B39" s="22">
        <f>B3</f>
        <v>43226</v>
      </c>
      <c r="C39" s="20"/>
      <c r="D39" s="22">
        <f>B39+7</f>
        <v>43233</v>
      </c>
      <c r="E39" s="20"/>
      <c r="F39" s="22">
        <f>D39+7</f>
        <v>43240</v>
      </c>
      <c r="G39" s="20"/>
      <c r="H39" s="22">
        <f>F39+7</f>
        <v>43247</v>
      </c>
      <c r="I39" s="20"/>
      <c r="J39" s="22">
        <f>H39+7</f>
        <v>43254</v>
      </c>
      <c r="K39" s="20"/>
      <c r="L39" s="22">
        <f>J39+7</f>
        <v>43261</v>
      </c>
      <c r="M39" s="20"/>
      <c r="N39" s="22">
        <f>L39+7</f>
        <v>43268</v>
      </c>
      <c r="O39" s="20"/>
    </row>
    <row r="40">
      <c r="A40" s="36"/>
      <c r="B40" s="37" t="s">
        <v>70</v>
      </c>
      <c r="C40" s="20"/>
      <c r="D40" s="37" t="s">
        <v>74</v>
      </c>
      <c r="E40" s="20"/>
      <c r="F40" s="37" t="s">
        <v>76</v>
      </c>
      <c r="G40" s="20"/>
      <c r="H40" s="37" t="s">
        <v>78</v>
      </c>
      <c r="I40" s="20"/>
      <c r="J40" s="37" t="s">
        <v>80</v>
      </c>
      <c r="K40" s="20"/>
      <c r="L40" s="37" t="s">
        <v>82</v>
      </c>
      <c r="M40" s="20"/>
      <c r="N40" s="37" t="s">
        <v>86</v>
      </c>
      <c r="O40" s="20"/>
    </row>
    <row r="41">
      <c r="A41" s="41"/>
      <c r="B41" s="42" t="s">
        <v>174</v>
      </c>
      <c r="C41" s="43">
        <v>189.0</v>
      </c>
      <c r="D41" s="103" t="str">
        <f>B44</f>
        <v>swxnw</v>
      </c>
      <c r="E41" s="104">
        <v>150.0</v>
      </c>
      <c r="F41" s="105" t="str">
        <f>B48</f>
        <v>nasing</v>
      </c>
      <c r="G41" s="104">
        <v>241.0</v>
      </c>
      <c r="H41" s="105" t="str">
        <f>B47</f>
        <v>pajada</v>
      </c>
      <c r="I41" s="104">
        <v>233.0</v>
      </c>
      <c r="J41" s="105" t="str">
        <f>B42</f>
        <v>rporrini</v>
      </c>
      <c r="K41" s="104">
        <v>142.0</v>
      </c>
      <c r="L41" s="105" t="str">
        <f>B46</f>
        <v>PhiTrigger</v>
      </c>
      <c r="M41" s="104">
        <v>148.0</v>
      </c>
      <c r="N41" s="105" t="str">
        <f t="shared" ref="N41:N42" si="19">B43</f>
        <v>bcnoexceptions</v>
      </c>
      <c r="O41" s="104">
        <v>211.0</v>
      </c>
    </row>
    <row r="42">
      <c r="A42" s="41"/>
      <c r="B42" s="42" t="s">
        <v>180</v>
      </c>
      <c r="C42" s="43">
        <v>102.0</v>
      </c>
      <c r="D42" s="108" t="str">
        <f>B41</f>
        <v>FabioMP</v>
      </c>
      <c r="E42" s="109">
        <v>174.0</v>
      </c>
      <c r="F42" s="101" t="str">
        <f>B42</f>
        <v>rporrini</v>
      </c>
      <c r="G42" s="109">
        <v>128.0</v>
      </c>
      <c r="H42" s="101" t="str">
        <f>B43</f>
        <v>bcnoexceptions</v>
      </c>
      <c r="I42" s="109">
        <v>187.0</v>
      </c>
      <c r="J42" s="101" t="str">
        <f>B44</f>
        <v>swxnw</v>
      </c>
      <c r="K42" s="109">
        <v>202.0</v>
      </c>
      <c r="L42" s="101" t="str">
        <f>B43</f>
        <v>bcnoexceptions</v>
      </c>
      <c r="M42" s="109">
        <v>101.0</v>
      </c>
      <c r="N42" s="101" t="str">
        <f t="shared" si="19"/>
        <v>swxnw</v>
      </c>
      <c r="O42" s="109">
        <v>132.0</v>
      </c>
    </row>
    <row r="43">
      <c r="A43" s="41"/>
      <c r="B43" s="42" t="s">
        <v>171</v>
      </c>
      <c r="C43" s="43">
        <v>176.0</v>
      </c>
      <c r="D43" s="108" t="str">
        <f t="shared" ref="D43:D44" si="20">B46</f>
        <v>PhiTrigger</v>
      </c>
      <c r="E43" s="109">
        <v>53.0</v>
      </c>
      <c r="F43" s="101" t="str">
        <f>B47</f>
        <v>pajada</v>
      </c>
      <c r="G43" s="109">
        <v>261.0</v>
      </c>
      <c r="H43" s="101" t="str">
        <f>B46</f>
        <v>PhiTrigger</v>
      </c>
      <c r="I43" s="109">
        <v>206.0</v>
      </c>
      <c r="J43" s="101" t="str">
        <f>B46</f>
        <v>PhiTrigger</v>
      </c>
      <c r="K43" s="109">
        <v>248.0</v>
      </c>
      <c r="L43" s="101" t="str">
        <f>B41</f>
        <v>FabioMP</v>
      </c>
      <c r="M43" s="109">
        <v>86.0</v>
      </c>
      <c r="N43" s="101" t="str">
        <f t="shared" ref="N43:N44" si="21">B47</f>
        <v>pajada</v>
      </c>
      <c r="O43" s="109">
        <v>261.0</v>
      </c>
    </row>
    <row r="44">
      <c r="A44" s="41"/>
      <c r="B44" s="42" t="s">
        <v>164</v>
      </c>
      <c r="C44" s="62">
        <v>210.0</v>
      </c>
      <c r="D44" s="121" t="str">
        <f t="shared" si="20"/>
        <v>pajada</v>
      </c>
      <c r="E44" s="123">
        <v>177.0</v>
      </c>
      <c r="F44" s="124" t="str">
        <f>B41</f>
        <v>FabioMP</v>
      </c>
      <c r="G44" s="123">
        <v>171.0</v>
      </c>
      <c r="H44" s="124" t="str">
        <f>B42</f>
        <v>rporrini</v>
      </c>
      <c r="I44" s="123">
        <v>43.0</v>
      </c>
      <c r="J44" s="124" t="str">
        <f>B48</f>
        <v>nasing</v>
      </c>
      <c r="K44" s="123">
        <v>92.0</v>
      </c>
      <c r="L44" s="124" t="str">
        <f>B48</f>
        <v>nasing</v>
      </c>
      <c r="M44" s="123">
        <v>88.0</v>
      </c>
      <c r="N44" s="124" t="str">
        <f t="shared" si="21"/>
        <v>nasing</v>
      </c>
      <c r="O44" s="123">
        <v>118.0</v>
      </c>
    </row>
    <row r="45">
      <c r="A45" s="41"/>
      <c r="B45" s="69" t="s">
        <v>125</v>
      </c>
      <c r="C45" s="20"/>
      <c r="D45" s="128" t="s">
        <v>127</v>
      </c>
      <c r="E45" s="83"/>
      <c r="F45" s="130" t="s">
        <v>128</v>
      </c>
      <c r="G45" s="83"/>
      <c r="H45" s="130" t="s">
        <v>129</v>
      </c>
      <c r="I45" s="83"/>
      <c r="J45" s="130" t="s">
        <v>130</v>
      </c>
      <c r="K45" s="83"/>
      <c r="L45" s="130" t="s">
        <v>131</v>
      </c>
      <c r="M45" s="83"/>
      <c r="N45" s="130" t="s">
        <v>133</v>
      </c>
      <c r="O45" s="83"/>
    </row>
    <row r="46">
      <c r="A46" s="41"/>
      <c r="B46" s="93" t="s">
        <v>167</v>
      </c>
      <c r="C46" s="135">
        <v>103.0</v>
      </c>
      <c r="D46" s="108" t="str">
        <f t="shared" ref="D46:D47" si="22">B42</f>
        <v>rporrini</v>
      </c>
      <c r="E46" s="109">
        <v>95.0</v>
      </c>
      <c r="F46" s="101" t="str">
        <f t="shared" ref="F46:F47" si="23">B43</f>
        <v>bcnoexceptions</v>
      </c>
      <c r="G46" s="109">
        <v>177.0</v>
      </c>
      <c r="H46" s="101" t="str">
        <f>B48</f>
        <v>nasing</v>
      </c>
      <c r="I46" s="109">
        <v>168.0</v>
      </c>
      <c r="J46" s="101" t="str">
        <f>B47</f>
        <v>pajada</v>
      </c>
      <c r="K46" s="109">
        <v>120.0</v>
      </c>
      <c r="L46" s="101" t="str">
        <f>B44</f>
        <v>swxnw</v>
      </c>
      <c r="M46" s="109">
        <v>150.0</v>
      </c>
      <c r="N46" s="101" t="str">
        <f t="shared" ref="N46:N47" si="24">B41</f>
        <v>FabioMP</v>
      </c>
      <c r="O46" s="109">
        <v>134.0</v>
      </c>
    </row>
    <row r="47">
      <c r="A47" s="41"/>
      <c r="B47" s="42" t="s">
        <v>161</v>
      </c>
      <c r="C47" s="136">
        <v>211.0</v>
      </c>
      <c r="D47" s="108" t="str">
        <f t="shared" si="22"/>
        <v>bcnoexceptions</v>
      </c>
      <c r="E47" s="109">
        <v>168.0</v>
      </c>
      <c r="F47" s="101" t="str">
        <f t="shared" si="23"/>
        <v>swxnw</v>
      </c>
      <c r="G47" s="109">
        <v>133.0</v>
      </c>
      <c r="H47" s="101" t="str">
        <f>B44</f>
        <v>swxnw</v>
      </c>
      <c r="I47" s="109">
        <v>189.0</v>
      </c>
      <c r="J47" s="101" t="str">
        <f>B43</f>
        <v>bcnoexceptions</v>
      </c>
      <c r="K47" s="109">
        <v>104.0</v>
      </c>
      <c r="L47" s="101" t="str">
        <f>B42</f>
        <v>rporrini</v>
      </c>
      <c r="M47" s="109">
        <v>109.0</v>
      </c>
      <c r="N47" s="101" t="str">
        <f t="shared" si="24"/>
        <v>rporrini</v>
      </c>
      <c r="O47" s="109">
        <v>76.0</v>
      </c>
    </row>
    <row r="48">
      <c r="A48" s="41"/>
      <c r="B48" s="82" t="s">
        <v>177</v>
      </c>
      <c r="C48" s="137">
        <v>162.0</v>
      </c>
      <c r="D48" s="121" t="str">
        <f>B48</f>
        <v>nasing</v>
      </c>
      <c r="E48" s="123">
        <v>170.0</v>
      </c>
      <c r="F48" s="124" t="str">
        <f>B46</f>
        <v>PhiTrigger</v>
      </c>
      <c r="G48" s="123">
        <v>100.0</v>
      </c>
      <c r="H48" s="124" t="str">
        <f>B41</f>
        <v>FabioMP</v>
      </c>
      <c r="I48" s="123">
        <v>183.0</v>
      </c>
      <c r="J48" s="124" t="str">
        <f>B41</f>
        <v>FabioMP</v>
      </c>
      <c r="K48" s="123">
        <v>77.0</v>
      </c>
      <c r="L48" s="124" t="str">
        <f>B47</f>
        <v>pajada</v>
      </c>
      <c r="M48" s="123">
        <v>89.0</v>
      </c>
      <c r="N48" s="124" t="str">
        <f>B46</f>
        <v>PhiTrigger</v>
      </c>
      <c r="O48" s="123">
        <v>244.0</v>
      </c>
    </row>
    <row r="49">
      <c r="A49" s="41"/>
    </row>
    <row r="50">
      <c r="A50" s="41"/>
      <c r="B50" s="13" t="s">
        <v>202</v>
      </c>
      <c r="C50" s="15"/>
      <c r="D50" s="15"/>
      <c r="E50" s="15"/>
      <c r="F50" s="15"/>
      <c r="G50" s="15"/>
      <c r="H50" s="15"/>
      <c r="I50" s="15"/>
      <c r="J50" s="15"/>
      <c r="K50" s="15"/>
      <c r="L50" s="15"/>
      <c r="M50" s="15"/>
      <c r="N50" s="15"/>
      <c r="O50" s="20"/>
    </row>
    <row r="51">
      <c r="B51" s="22">
        <f>B3</f>
        <v>43226</v>
      </c>
      <c r="C51" s="20"/>
      <c r="D51" s="22">
        <f>B51+7</f>
        <v>43233</v>
      </c>
      <c r="E51" s="20"/>
      <c r="F51" s="22">
        <f>D51+7</f>
        <v>43240</v>
      </c>
      <c r="G51" s="20"/>
      <c r="H51" s="22">
        <f>F51+7</f>
        <v>43247</v>
      </c>
      <c r="I51" s="20"/>
      <c r="J51" s="22">
        <f>H51+7</f>
        <v>43254</v>
      </c>
      <c r="K51" s="20"/>
      <c r="L51" s="22">
        <f>J51+7</f>
        <v>43261</v>
      </c>
      <c r="M51" s="20"/>
      <c r="N51" s="22">
        <f>L51+7</f>
        <v>43268</v>
      </c>
      <c r="O51" s="20"/>
    </row>
    <row r="52">
      <c r="A52" s="36"/>
      <c r="B52" s="37" t="s">
        <v>70</v>
      </c>
      <c r="C52" s="20"/>
      <c r="D52" s="37" t="s">
        <v>74</v>
      </c>
      <c r="E52" s="20"/>
      <c r="F52" s="37" t="s">
        <v>76</v>
      </c>
      <c r="G52" s="20"/>
      <c r="H52" s="37" t="s">
        <v>78</v>
      </c>
      <c r="I52" s="20"/>
      <c r="J52" s="37" t="s">
        <v>80</v>
      </c>
      <c r="K52" s="20"/>
      <c r="L52" s="37" t="s">
        <v>82</v>
      </c>
      <c r="M52" s="20"/>
      <c r="N52" s="37" t="s">
        <v>86</v>
      </c>
      <c r="O52" s="20"/>
    </row>
    <row r="53">
      <c r="A53" s="41"/>
      <c r="B53" s="42" t="s">
        <v>178</v>
      </c>
      <c r="C53" s="43">
        <v>105.0</v>
      </c>
      <c r="D53" s="103" t="str">
        <f>B56</f>
        <v>JeremyBrokaw</v>
      </c>
      <c r="E53" s="104">
        <v>242.0</v>
      </c>
      <c r="F53" s="105" t="str">
        <f>B60</f>
        <v>Ivantz</v>
      </c>
      <c r="G53" s="104">
        <v>198.0</v>
      </c>
      <c r="H53" s="105" t="str">
        <f>B59</f>
        <v>Rollduptrips</v>
      </c>
      <c r="I53" s="104">
        <v>190.0</v>
      </c>
      <c r="J53" s="105" t="str">
        <f>B54</f>
        <v>demianv</v>
      </c>
      <c r="K53" s="104">
        <v>121.0</v>
      </c>
      <c r="L53" s="105" t="str">
        <f>B58</f>
        <v>takusto_ii</v>
      </c>
      <c r="M53" s="104">
        <v>166.0</v>
      </c>
      <c r="N53" s="105" t="str">
        <f t="shared" ref="N53:N54" si="25">B55</f>
        <v>invalidName</v>
      </c>
      <c r="O53" s="104">
        <v>97.0</v>
      </c>
    </row>
    <row r="54">
      <c r="A54" s="41"/>
      <c r="B54" s="42" t="s">
        <v>181</v>
      </c>
      <c r="C54" s="43">
        <v>0.0</v>
      </c>
      <c r="D54" s="108" t="str">
        <f>B53</f>
        <v>checkmate4200</v>
      </c>
      <c r="E54" s="109">
        <v>95.0</v>
      </c>
      <c r="F54" s="101" t="str">
        <f>B54</f>
        <v>demianv</v>
      </c>
      <c r="G54" s="109">
        <v>37.0</v>
      </c>
      <c r="H54" s="101" t="str">
        <f>B55</f>
        <v>invalidName</v>
      </c>
      <c r="I54" s="109">
        <v>275.0</v>
      </c>
      <c r="J54" s="101" t="str">
        <f>B56</f>
        <v>JeremyBrokaw</v>
      </c>
      <c r="K54" s="109">
        <v>198.0</v>
      </c>
      <c r="L54" s="101" t="str">
        <f>B55</f>
        <v>invalidName</v>
      </c>
      <c r="M54" s="109">
        <v>149.0</v>
      </c>
      <c r="N54" s="101" t="str">
        <f t="shared" si="25"/>
        <v>JeremyBrokaw</v>
      </c>
      <c r="O54" s="109">
        <v>247.0</v>
      </c>
    </row>
    <row r="55">
      <c r="A55" s="41"/>
      <c r="B55" s="42" t="s">
        <v>165</v>
      </c>
      <c r="C55" s="43">
        <v>163.0</v>
      </c>
      <c r="D55" s="108" t="str">
        <f t="shared" ref="D55:D56" si="26">B58</f>
        <v>takusto_ii</v>
      </c>
      <c r="E55" s="109">
        <v>187.0</v>
      </c>
      <c r="F55" s="101" t="str">
        <f>B59</f>
        <v>Rollduptrips</v>
      </c>
      <c r="G55" s="109">
        <v>171.0</v>
      </c>
      <c r="H55" s="101" t="str">
        <f>B58</f>
        <v>takusto_ii</v>
      </c>
      <c r="I55" s="109">
        <v>237.0</v>
      </c>
      <c r="J55" s="101" t="str">
        <f>B58</f>
        <v>takusto_ii</v>
      </c>
      <c r="K55" s="109">
        <v>166.0</v>
      </c>
      <c r="L55" s="101" t="str">
        <f>B53</f>
        <v>checkmate4200</v>
      </c>
      <c r="M55" s="109">
        <v>112.0</v>
      </c>
      <c r="N55" s="101" t="str">
        <f t="shared" ref="N55:N56" si="27">B59</f>
        <v>Rollduptrips</v>
      </c>
      <c r="O55" s="109">
        <v>154.0</v>
      </c>
    </row>
    <row r="56">
      <c r="A56" s="41"/>
      <c r="B56" s="42" t="s">
        <v>162</v>
      </c>
      <c r="C56" s="62">
        <v>177.0</v>
      </c>
      <c r="D56" s="121" t="str">
        <f t="shared" si="26"/>
        <v>Rollduptrips</v>
      </c>
      <c r="E56" s="123">
        <v>65.0</v>
      </c>
      <c r="F56" s="124" t="str">
        <f>B53</f>
        <v>checkmate4200</v>
      </c>
      <c r="G56" s="123">
        <v>161.0</v>
      </c>
      <c r="H56" s="124" t="str">
        <f>B54</f>
        <v>demianv</v>
      </c>
      <c r="I56" s="123">
        <v>158.0</v>
      </c>
      <c r="J56" s="124" t="str">
        <f>B60</f>
        <v>Ivantz</v>
      </c>
      <c r="K56" s="123">
        <v>109.0</v>
      </c>
      <c r="L56" s="124" t="str">
        <f>B60</f>
        <v>Ivantz</v>
      </c>
      <c r="M56" s="123">
        <v>103.0</v>
      </c>
      <c r="N56" s="124" t="str">
        <f t="shared" si="27"/>
        <v>Ivantz</v>
      </c>
      <c r="O56" s="123">
        <v>117.0</v>
      </c>
    </row>
    <row r="57">
      <c r="A57" s="41"/>
      <c r="B57" s="69" t="s">
        <v>125</v>
      </c>
      <c r="C57" s="20"/>
      <c r="D57" s="128" t="s">
        <v>127</v>
      </c>
      <c r="E57" s="83"/>
      <c r="F57" s="130" t="s">
        <v>128</v>
      </c>
      <c r="G57" s="83"/>
      <c r="H57" s="130" t="s">
        <v>129</v>
      </c>
      <c r="I57" s="83"/>
      <c r="J57" s="130" t="s">
        <v>130</v>
      </c>
      <c r="K57" s="83"/>
      <c r="L57" s="130" t="s">
        <v>131</v>
      </c>
      <c r="M57" s="83"/>
      <c r="N57" s="130" t="s">
        <v>133</v>
      </c>
      <c r="O57" s="83"/>
    </row>
    <row r="58">
      <c r="A58" s="41"/>
      <c r="B58" s="93" t="s">
        <v>168</v>
      </c>
      <c r="C58" s="94">
        <v>156.0</v>
      </c>
      <c r="D58" s="108" t="str">
        <f t="shared" ref="D58:D59" si="28">B54</f>
        <v>demianv</v>
      </c>
      <c r="E58" s="109">
        <v>93.0</v>
      </c>
      <c r="F58" s="101" t="str">
        <f t="shared" ref="F58:F59" si="29">B55</f>
        <v>invalidName</v>
      </c>
      <c r="G58" s="109">
        <v>104.0</v>
      </c>
      <c r="H58" s="101" t="str">
        <f>B60</f>
        <v>Ivantz</v>
      </c>
      <c r="I58" s="109">
        <v>136.0</v>
      </c>
      <c r="J58" s="101" t="str">
        <f>B59</f>
        <v>Rollduptrips</v>
      </c>
      <c r="K58" s="109">
        <v>129.0</v>
      </c>
      <c r="L58" s="101" t="str">
        <f>B56</f>
        <v>JeremyBrokaw</v>
      </c>
      <c r="M58" s="109">
        <v>253.0</v>
      </c>
      <c r="N58" s="101" t="str">
        <f t="shared" ref="N58:N59" si="30">B53</f>
        <v>checkmate4200</v>
      </c>
      <c r="O58" s="109">
        <v>137.0</v>
      </c>
    </row>
    <row r="59">
      <c r="A59" s="41"/>
      <c r="B59" s="42" t="s">
        <v>175</v>
      </c>
      <c r="C59" s="43">
        <v>138.0</v>
      </c>
      <c r="D59" s="108" t="str">
        <f t="shared" si="28"/>
        <v>invalidName</v>
      </c>
      <c r="E59" s="109">
        <v>155.0</v>
      </c>
      <c r="F59" s="101" t="str">
        <f t="shared" si="29"/>
        <v>JeremyBrokaw</v>
      </c>
      <c r="G59" s="109">
        <v>216.0</v>
      </c>
      <c r="H59" s="101" t="str">
        <f>B56</f>
        <v>JeremyBrokaw</v>
      </c>
      <c r="I59" s="109">
        <v>150.0</v>
      </c>
      <c r="J59" s="101" t="str">
        <f>B55</f>
        <v>invalidName</v>
      </c>
      <c r="K59" s="109">
        <v>160.0</v>
      </c>
      <c r="L59" s="101" t="str">
        <f>B54</f>
        <v>demianv</v>
      </c>
      <c r="M59" s="109">
        <v>99.0</v>
      </c>
      <c r="N59" s="101" t="str">
        <f t="shared" si="30"/>
        <v>demianv</v>
      </c>
      <c r="O59" s="109">
        <v>95.0</v>
      </c>
    </row>
    <row r="60">
      <c r="A60" s="41"/>
      <c r="B60" s="82" t="s">
        <v>172</v>
      </c>
      <c r="C60" s="62">
        <v>157.0</v>
      </c>
      <c r="D60" s="121" t="str">
        <f>B60</f>
        <v>Ivantz</v>
      </c>
      <c r="E60" s="123">
        <v>119.0</v>
      </c>
      <c r="F60" s="124" t="str">
        <f>B58</f>
        <v>takusto_ii</v>
      </c>
      <c r="G60" s="123">
        <v>81.0</v>
      </c>
      <c r="H60" s="124" t="str">
        <f>B53</f>
        <v>checkmate4200</v>
      </c>
      <c r="I60" s="123">
        <v>52.0</v>
      </c>
      <c r="J60" s="124" t="str">
        <f>B53</f>
        <v>checkmate4200</v>
      </c>
      <c r="K60" s="123">
        <v>115.0</v>
      </c>
      <c r="L60" s="124" t="str">
        <f>B59</f>
        <v>Rollduptrips</v>
      </c>
      <c r="M60" s="123">
        <v>251.0</v>
      </c>
      <c r="N60" s="124" t="str">
        <f>B58</f>
        <v>takusto_ii</v>
      </c>
      <c r="O60" s="123">
        <v>143.0</v>
      </c>
    </row>
    <row r="61">
      <c r="A61" s="41"/>
    </row>
    <row r="62">
      <c r="A62" s="41"/>
      <c r="B62" s="13" t="s">
        <v>203</v>
      </c>
      <c r="C62" s="15"/>
      <c r="D62" s="15"/>
      <c r="E62" s="15"/>
      <c r="F62" s="15"/>
      <c r="G62" s="15"/>
      <c r="H62" s="15"/>
      <c r="I62" s="15"/>
      <c r="J62" s="15"/>
      <c r="K62" s="15"/>
      <c r="L62" s="15"/>
      <c r="M62" s="15"/>
      <c r="N62" s="15"/>
      <c r="O62" s="20"/>
    </row>
    <row r="63">
      <c r="A63" s="96"/>
      <c r="B63" s="97">
        <f>B$3</f>
        <v>43226</v>
      </c>
      <c r="C63" s="20"/>
      <c r="D63" s="97">
        <f>B63+7</f>
        <v>43233</v>
      </c>
      <c r="E63" s="20"/>
      <c r="F63" s="97">
        <f>D63+7</f>
        <v>43240</v>
      </c>
      <c r="G63" s="20"/>
      <c r="H63" s="97">
        <f>F63+7</f>
        <v>43247</v>
      </c>
      <c r="I63" s="20"/>
      <c r="J63" s="97">
        <f>H63+7</f>
        <v>43254</v>
      </c>
      <c r="K63" s="20"/>
      <c r="L63" s="97">
        <f>J63+7</f>
        <v>43261</v>
      </c>
      <c r="M63" s="20"/>
      <c r="N63" s="97">
        <f>L63+7</f>
        <v>43268</v>
      </c>
      <c r="O63" s="20"/>
    </row>
    <row r="64">
      <c r="A64" s="99"/>
      <c r="B64" s="100" t="s">
        <v>70</v>
      </c>
      <c r="C64" s="20"/>
      <c r="D64" s="100" t="s">
        <v>74</v>
      </c>
      <c r="E64" s="20"/>
      <c r="F64" s="100" t="s">
        <v>76</v>
      </c>
      <c r="G64" s="20"/>
      <c r="H64" s="100" t="s">
        <v>78</v>
      </c>
      <c r="I64" s="20"/>
      <c r="J64" s="100" t="s">
        <v>80</v>
      </c>
      <c r="K64" s="20"/>
      <c r="L64" s="100" t="s">
        <v>82</v>
      </c>
      <c r="M64" s="20"/>
      <c r="N64" s="100" t="s">
        <v>86</v>
      </c>
      <c r="O64" s="20"/>
    </row>
    <row r="65">
      <c r="A65" s="96"/>
      <c r="B65" s="101" t="s">
        <v>176</v>
      </c>
      <c r="C65" s="102">
        <v>201.0</v>
      </c>
      <c r="D65" s="103" t="str">
        <f>B68</f>
        <v>Fad23</v>
      </c>
      <c r="E65" s="104">
        <v>141.0</v>
      </c>
      <c r="F65" s="105" t="str">
        <f>B72</f>
        <v>hihihiji</v>
      </c>
      <c r="G65" s="104">
        <v>309.0</v>
      </c>
      <c r="H65" s="105" t="str">
        <f>B71</f>
        <v>Werlix</v>
      </c>
      <c r="I65" s="104">
        <v>149.0</v>
      </c>
      <c r="J65" s="105" t="str">
        <f>B66</f>
        <v>Flynn</v>
      </c>
      <c r="K65" s="104">
        <v>75.0</v>
      </c>
      <c r="L65" s="105" t="str">
        <f>B70</f>
        <v>Woodenman</v>
      </c>
      <c r="M65" s="104">
        <v>217.0</v>
      </c>
      <c r="N65" s="105" t="str">
        <f t="shared" ref="N65:N66" si="31">B67</f>
        <v>Circadia</v>
      </c>
      <c r="O65" s="104">
        <v>181.0</v>
      </c>
    </row>
    <row r="66">
      <c r="A66" s="96"/>
      <c r="B66" s="101" t="s">
        <v>182</v>
      </c>
      <c r="C66" s="102">
        <v>193.0</v>
      </c>
      <c r="D66" s="108" t="str">
        <f>B65</f>
        <v>funkenschlag</v>
      </c>
      <c r="E66" s="109">
        <v>207.0</v>
      </c>
      <c r="F66" s="101" t="str">
        <f>B66</f>
        <v>Flynn</v>
      </c>
      <c r="G66" s="109">
        <v>77.0</v>
      </c>
      <c r="H66" s="101" t="str">
        <f>B67</f>
        <v>Circadia</v>
      </c>
      <c r="I66" s="109">
        <v>183.0</v>
      </c>
      <c r="J66" s="101" t="str">
        <f>B68</f>
        <v>Fad23</v>
      </c>
      <c r="K66" s="109">
        <v>187.0</v>
      </c>
      <c r="L66" s="101" t="str">
        <f>B67</f>
        <v>Circadia</v>
      </c>
      <c r="M66" s="109">
        <v>181.0</v>
      </c>
      <c r="N66" s="101" t="str">
        <f t="shared" si="31"/>
        <v>Fad23</v>
      </c>
      <c r="O66" s="109">
        <v>87.0</v>
      </c>
    </row>
    <row r="67">
      <c r="A67" s="96"/>
      <c r="B67" s="101" t="s">
        <v>170</v>
      </c>
      <c r="C67" s="102">
        <v>301.0</v>
      </c>
      <c r="D67" s="108" t="str">
        <f t="shared" ref="D67:D68" si="32">B70</f>
        <v>Woodenman</v>
      </c>
      <c r="E67" s="109">
        <v>281.0</v>
      </c>
      <c r="F67" s="101" t="str">
        <f>B71</f>
        <v>Werlix</v>
      </c>
      <c r="G67" s="109">
        <v>168.0</v>
      </c>
      <c r="H67" s="101" t="str">
        <f>B70</f>
        <v>Woodenman</v>
      </c>
      <c r="I67" s="109">
        <v>139.0</v>
      </c>
      <c r="J67" s="101" t="str">
        <f>B70</f>
        <v>Woodenman</v>
      </c>
      <c r="K67" s="109">
        <v>231.0</v>
      </c>
      <c r="L67" s="101" t="str">
        <f>B65</f>
        <v>funkenschlag</v>
      </c>
      <c r="M67" s="109">
        <v>57.0</v>
      </c>
      <c r="N67" s="101" t="str">
        <f t="shared" ref="N67:N68" si="33">B71</f>
        <v>Werlix</v>
      </c>
      <c r="O67" s="109">
        <v>170.0</v>
      </c>
    </row>
    <row r="68">
      <c r="A68" s="96"/>
      <c r="B68" s="101" t="s">
        <v>179</v>
      </c>
      <c r="C68" s="119">
        <v>178.0</v>
      </c>
      <c r="D68" s="121" t="str">
        <f t="shared" si="32"/>
        <v>Werlix</v>
      </c>
      <c r="E68" s="123">
        <v>147.0</v>
      </c>
      <c r="F68" s="124" t="str">
        <f>B65</f>
        <v>funkenschlag</v>
      </c>
      <c r="G68" s="123">
        <v>177.0</v>
      </c>
      <c r="H68" s="124" t="str">
        <f>B66</f>
        <v>Flynn</v>
      </c>
      <c r="I68" s="123">
        <v>122.0</v>
      </c>
      <c r="J68" s="124" t="str">
        <f>B72</f>
        <v>hihihiji</v>
      </c>
      <c r="K68" s="123">
        <v>238.0</v>
      </c>
      <c r="L68" s="124" t="str">
        <f>B72</f>
        <v>hihihiji</v>
      </c>
      <c r="M68" s="123">
        <v>183.0</v>
      </c>
      <c r="N68" s="124" t="str">
        <f t="shared" si="33"/>
        <v>hihihiji</v>
      </c>
      <c r="O68" s="123">
        <v>229.0</v>
      </c>
    </row>
    <row r="69">
      <c r="A69" s="96"/>
      <c r="B69" s="127" t="s">
        <v>125</v>
      </c>
      <c r="C69" s="20"/>
      <c r="D69" s="128" t="s">
        <v>127</v>
      </c>
      <c r="E69" s="83"/>
      <c r="F69" s="130" t="s">
        <v>128</v>
      </c>
      <c r="G69" s="83"/>
      <c r="H69" s="130" t="s">
        <v>129</v>
      </c>
      <c r="I69" s="83"/>
      <c r="J69" s="130" t="s">
        <v>130</v>
      </c>
      <c r="K69" s="83"/>
      <c r="L69" s="130" t="s">
        <v>131</v>
      </c>
      <c r="M69" s="83"/>
      <c r="N69" s="130" t="s">
        <v>133</v>
      </c>
      <c r="O69" s="83"/>
    </row>
    <row r="70">
      <c r="A70" s="96"/>
      <c r="B70" s="103" t="s">
        <v>166</v>
      </c>
      <c r="C70" s="132">
        <v>89.0</v>
      </c>
      <c r="D70" s="108" t="str">
        <f t="shared" ref="D70:D71" si="34">B66</f>
        <v>Flynn</v>
      </c>
      <c r="E70" s="109">
        <v>70.0</v>
      </c>
      <c r="F70" s="101" t="str">
        <f t="shared" ref="F70:F71" si="35">B67</f>
        <v>Circadia</v>
      </c>
      <c r="G70" s="109">
        <v>150.0</v>
      </c>
      <c r="H70" s="101" t="str">
        <f>B72</f>
        <v>hihihiji</v>
      </c>
      <c r="I70" s="109">
        <v>228.0</v>
      </c>
      <c r="J70" s="101" t="str">
        <f>B71</f>
        <v>Werlix</v>
      </c>
      <c r="K70" s="109">
        <v>202.0</v>
      </c>
      <c r="L70" s="101" t="str">
        <f>B68</f>
        <v>Fad23</v>
      </c>
      <c r="M70" s="109">
        <v>208.0</v>
      </c>
      <c r="N70" s="101" t="str">
        <f t="shared" ref="N70:N71" si="36">B65</f>
        <v>funkenschlag</v>
      </c>
      <c r="O70" s="109">
        <v>135.0</v>
      </c>
    </row>
    <row r="71">
      <c r="A71" s="96"/>
      <c r="B71" s="108" t="s">
        <v>173</v>
      </c>
      <c r="C71" s="102">
        <v>65.0</v>
      </c>
      <c r="D71" s="108" t="str">
        <f t="shared" si="34"/>
        <v>Circadia</v>
      </c>
      <c r="E71" s="109">
        <v>148.0</v>
      </c>
      <c r="F71" s="101" t="str">
        <f t="shared" si="35"/>
        <v>Fad23</v>
      </c>
      <c r="G71" s="109">
        <v>37.0</v>
      </c>
      <c r="H71" s="101" t="str">
        <f>B68</f>
        <v>Fad23</v>
      </c>
      <c r="I71" s="109">
        <v>143.0</v>
      </c>
      <c r="J71" s="101" t="str">
        <f>B67</f>
        <v>Circadia</v>
      </c>
      <c r="K71" s="109">
        <v>297.0</v>
      </c>
      <c r="L71" s="101" t="str">
        <f>B66</f>
        <v>Flynn</v>
      </c>
      <c r="M71" s="109">
        <v>197.0</v>
      </c>
      <c r="N71" s="101" t="str">
        <f t="shared" si="36"/>
        <v>Flynn</v>
      </c>
      <c r="O71" s="109">
        <v>93.0</v>
      </c>
    </row>
    <row r="72">
      <c r="A72" s="96"/>
      <c r="B72" s="121" t="s">
        <v>163</v>
      </c>
      <c r="C72" s="119">
        <v>168.0</v>
      </c>
      <c r="D72" s="121" t="str">
        <f>B72</f>
        <v>hihihiji</v>
      </c>
      <c r="E72" s="123">
        <v>143.0</v>
      </c>
      <c r="F72" s="124" t="str">
        <f>B70</f>
        <v>Woodenman</v>
      </c>
      <c r="G72" s="123">
        <v>152.0</v>
      </c>
      <c r="H72" s="124" t="str">
        <f>B65</f>
        <v>funkenschlag</v>
      </c>
      <c r="I72" s="123">
        <v>0.0</v>
      </c>
      <c r="J72" s="124" t="str">
        <f>B65</f>
        <v>funkenschlag</v>
      </c>
      <c r="K72" s="123">
        <v>189.0</v>
      </c>
      <c r="L72" s="124" t="str">
        <f>B71</f>
        <v>Werlix</v>
      </c>
      <c r="M72" s="123">
        <v>256.0</v>
      </c>
      <c r="N72" s="124" t="str">
        <f>B70</f>
        <v>Woodenman</v>
      </c>
      <c r="O72" s="123">
        <v>154.0</v>
      </c>
    </row>
    <row r="73">
      <c r="A73" s="41"/>
    </row>
    <row r="74">
      <c r="A74" s="41"/>
      <c r="B74" s="13" t="s">
        <v>353</v>
      </c>
      <c r="C74" s="15"/>
      <c r="D74" s="15"/>
      <c r="E74" s="15"/>
      <c r="F74" s="15"/>
      <c r="G74" s="15"/>
      <c r="H74" s="15"/>
      <c r="I74" s="15"/>
      <c r="J74" s="15"/>
      <c r="K74" s="15"/>
      <c r="L74" s="15"/>
      <c r="M74" s="15"/>
      <c r="N74" s="15"/>
      <c r="O74" s="20"/>
    </row>
    <row r="75">
      <c r="B75" s="97">
        <f>B$3</f>
        <v>43226</v>
      </c>
      <c r="C75" s="20"/>
      <c r="D75" s="22">
        <f>B75+7</f>
        <v>43233</v>
      </c>
      <c r="E75" s="20"/>
      <c r="F75" s="22">
        <f>D75+7</f>
        <v>43240</v>
      </c>
      <c r="G75" s="20"/>
      <c r="H75" s="22">
        <f>F75+7</f>
        <v>43247</v>
      </c>
      <c r="I75" s="20"/>
      <c r="J75" s="22">
        <f>H75+7</f>
        <v>43254</v>
      </c>
      <c r="K75" s="20"/>
      <c r="L75" s="22">
        <f>J75+7</f>
        <v>43261</v>
      </c>
      <c r="M75" s="20"/>
      <c r="N75" s="22">
        <f>L75+7</f>
        <v>43268</v>
      </c>
      <c r="O75" s="20"/>
    </row>
    <row r="76">
      <c r="A76" s="36"/>
      <c r="B76" s="37" t="s">
        <v>70</v>
      </c>
      <c r="C76" s="20"/>
      <c r="D76" s="37" t="s">
        <v>74</v>
      </c>
      <c r="E76" s="20"/>
      <c r="F76" s="37" t="s">
        <v>76</v>
      </c>
      <c r="G76" s="20"/>
      <c r="H76" s="37" t="s">
        <v>78</v>
      </c>
      <c r="I76" s="20"/>
      <c r="J76" s="37" t="s">
        <v>80</v>
      </c>
      <c r="K76" s="20"/>
      <c r="L76" s="37" t="s">
        <v>82</v>
      </c>
      <c r="M76" s="20"/>
      <c r="N76" s="37" t="s">
        <v>86</v>
      </c>
      <c r="O76" s="20"/>
    </row>
    <row r="77">
      <c r="A77" s="41"/>
      <c r="B77" s="42" t="s">
        <v>187</v>
      </c>
      <c r="C77" s="43">
        <v>295.0</v>
      </c>
      <c r="D77" s="103" t="str">
        <f>B80</f>
        <v>Thomas91</v>
      </c>
      <c r="E77" s="104">
        <v>264.0</v>
      </c>
      <c r="F77" s="105" t="str">
        <f>B84</f>
        <v>Chul</v>
      </c>
      <c r="G77" s="104">
        <v>197.0</v>
      </c>
      <c r="H77" s="105" t="str">
        <f>B83</f>
        <v>Eroticus</v>
      </c>
      <c r="I77" s="104">
        <v>71.0</v>
      </c>
      <c r="J77" s="105" t="str">
        <f>B78</f>
        <v>Monik</v>
      </c>
      <c r="K77" s="104">
        <v>151.0</v>
      </c>
      <c r="L77" s="105" t="str">
        <f>B82</f>
        <v>12thManStanding</v>
      </c>
      <c r="M77" s="104">
        <v>131.0</v>
      </c>
      <c r="N77" s="105" t="str">
        <f t="shared" ref="N77:N78" si="37">B79</f>
        <v>Pandaiga</v>
      </c>
      <c r="O77" s="104">
        <v>156.0</v>
      </c>
    </row>
    <row r="78">
      <c r="A78" s="41"/>
      <c r="B78" s="42" t="s">
        <v>195</v>
      </c>
      <c r="C78" s="43">
        <v>184.0</v>
      </c>
      <c r="D78" s="108" t="str">
        <f>B77</f>
        <v>robster</v>
      </c>
      <c r="E78" s="109">
        <v>225.0</v>
      </c>
      <c r="F78" s="101" t="str">
        <f>B78</f>
        <v>Monik</v>
      </c>
      <c r="G78" s="109">
        <v>221.0</v>
      </c>
      <c r="H78" s="101" t="str">
        <f>B79</f>
        <v>Pandaiga</v>
      </c>
      <c r="I78" s="109">
        <v>279.0</v>
      </c>
      <c r="J78" s="101" t="str">
        <f>B80</f>
        <v>Thomas91</v>
      </c>
      <c r="K78" s="109">
        <v>214.0</v>
      </c>
      <c r="L78" s="101" t="str">
        <f>B79</f>
        <v>Pandaiga</v>
      </c>
      <c r="M78" s="109">
        <v>140.0</v>
      </c>
      <c r="N78" s="101" t="str">
        <f t="shared" si="37"/>
        <v>Thomas91</v>
      </c>
      <c r="O78" s="109">
        <v>167.0</v>
      </c>
    </row>
    <row r="79">
      <c r="A79" s="41"/>
      <c r="B79" s="42" t="s">
        <v>189</v>
      </c>
      <c r="C79" s="43">
        <v>294.0</v>
      </c>
      <c r="D79" s="108" t="str">
        <f t="shared" ref="D79:D80" si="38">B82</f>
        <v>12thManStanding</v>
      </c>
      <c r="E79" s="109">
        <v>152.0</v>
      </c>
      <c r="F79" s="101" t="str">
        <f>B83</f>
        <v>Eroticus</v>
      </c>
      <c r="G79" s="109">
        <v>47.0</v>
      </c>
      <c r="H79" s="101" t="str">
        <f>B82</f>
        <v>12thManStanding</v>
      </c>
      <c r="I79" s="109">
        <v>179.0</v>
      </c>
      <c r="J79" s="101" t="str">
        <f>B82</f>
        <v>12thManStanding</v>
      </c>
      <c r="K79" s="109">
        <v>0.0</v>
      </c>
      <c r="L79" s="101" t="str">
        <f>B77</f>
        <v>robster</v>
      </c>
      <c r="M79" s="109">
        <v>190.0</v>
      </c>
      <c r="N79" s="101" t="str">
        <f t="shared" ref="N79:N80" si="39">B83</f>
        <v>Eroticus</v>
      </c>
      <c r="O79" s="109">
        <v>67.0</v>
      </c>
    </row>
    <row r="80">
      <c r="A80" s="41"/>
      <c r="B80" s="42" t="s">
        <v>191</v>
      </c>
      <c r="C80" s="62">
        <v>216.0</v>
      </c>
      <c r="D80" s="121" t="str">
        <f t="shared" si="38"/>
        <v>Eroticus</v>
      </c>
      <c r="E80" s="123">
        <v>78.0</v>
      </c>
      <c r="F80" s="124" t="str">
        <f>B77</f>
        <v>robster</v>
      </c>
      <c r="G80" s="123">
        <v>255.0</v>
      </c>
      <c r="H80" s="124" t="str">
        <f>B78</f>
        <v>Monik</v>
      </c>
      <c r="I80" s="123">
        <v>231.0</v>
      </c>
      <c r="J80" s="124" t="str">
        <f>B84</f>
        <v>Chul</v>
      </c>
      <c r="K80" s="123">
        <v>137.0</v>
      </c>
      <c r="L80" s="124" t="str">
        <f>B84</f>
        <v>Chul</v>
      </c>
      <c r="M80" s="123">
        <v>173.0</v>
      </c>
      <c r="N80" s="124" t="str">
        <f t="shared" si="39"/>
        <v>Chul</v>
      </c>
      <c r="O80" s="123">
        <v>126.0</v>
      </c>
    </row>
    <row r="81">
      <c r="A81" s="41"/>
      <c r="B81" s="69" t="s">
        <v>125</v>
      </c>
      <c r="C81" s="20"/>
      <c r="D81" s="128" t="s">
        <v>127</v>
      </c>
      <c r="E81" s="83"/>
      <c r="F81" s="130" t="s">
        <v>128</v>
      </c>
      <c r="G81" s="83"/>
      <c r="H81" s="130" t="s">
        <v>129</v>
      </c>
      <c r="I81" s="83"/>
      <c r="J81" s="130" t="s">
        <v>130</v>
      </c>
      <c r="K81" s="83"/>
      <c r="L81" s="130" t="s">
        <v>131</v>
      </c>
      <c r="M81" s="83"/>
      <c r="N81" s="130" t="s">
        <v>133</v>
      </c>
      <c r="O81" s="83"/>
    </row>
    <row r="82">
      <c r="A82" s="41"/>
      <c r="B82" s="42" t="s">
        <v>197</v>
      </c>
      <c r="C82" s="43">
        <v>154.0</v>
      </c>
      <c r="D82" s="108" t="str">
        <f t="shared" ref="D82:D83" si="40">B78</f>
        <v>Monik</v>
      </c>
      <c r="E82" s="109">
        <v>204.0</v>
      </c>
      <c r="F82" s="101" t="str">
        <f t="shared" ref="F82:F83" si="41">B79</f>
        <v>Pandaiga</v>
      </c>
      <c r="G82" s="109">
        <v>147.0</v>
      </c>
      <c r="H82" s="101" t="str">
        <f>B84</f>
        <v>Chul</v>
      </c>
      <c r="I82" s="109">
        <v>125.0</v>
      </c>
      <c r="J82" s="101" t="str">
        <f>B83</f>
        <v>Eroticus</v>
      </c>
      <c r="K82" s="109">
        <v>94.0</v>
      </c>
      <c r="L82" s="101" t="str">
        <f>B80</f>
        <v>Thomas91</v>
      </c>
      <c r="M82" s="109">
        <v>119.0</v>
      </c>
      <c r="N82" s="101" t="str">
        <f t="shared" ref="N82:N83" si="42">B77</f>
        <v>robster</v>
      </c>
      <c r="O82" s="109">
        <v>192.0</v>
      </c>
    </row>
    <row r="83">
      <c r="A83" s="41"/>
      <c r="B83" s="42" t="s">
        <v>199</v>
      </c>
      <c r="C83" s="43">
        <v>92.0</v>
      </c>
      <c r="D83" s="108" t="str">
        <f t="shared" si="40"/>
        <v>Pandaiga</v>
      </c>
      <c r="E83" s="109">
        <v>233.0</v>
      </c>
      <c r="F83" s="101" t="str">
        <f t="shared" si="41"/>
        <v>Thomas91</v>
      </c>
      <c r="G83" s="109">
        <v>118.0</v>
      </c>
      <c r="H83" s="101" t="str">
        <f>B80</f>
        <v>Thomas91</v>
      </c>
      <c r="I83" s="109">
        <v>140.0</v>
      </c>
      <c r="J83" s="101" t="str">
        <f>B79</f>
        <v>Pandaiga</v>
      </c>
      <c r="K83" s="109">
        <v>143.0</v>
      </c>
      <c r="L83" s="101" t="str">
        <f>B78</f>
        <v>Monik</v>
      </c>
      <c r="M83" s="109">
        <v>82.0</v>
      </c>
      <c r="N83" s="101" t="str">
        <f t="shared" si="42"/>
        <v>Monik</v>
      </c>
      <c r="O83" s="109">
        <v>120.0</v>
      </c>
    </row>
    <row r="84">
      <c r="A84" s="41"/>
      <c r="B84" s="82" t="s">
        <v>193</v>
      </c>
      <c r="C84" s="62">
        <v>297.0</v>
      </c>
      <c r="D84" s="121" t="str">
        <f>B84</f>
        <v>Chul</v>
      </c>
      <c r="E84" s="123">
        <v>211.0</v>
      </c>
      <c r="F84" s="124" t="str">
        <f>B82</f>
        <v>12thManStanding</v>
      </c>
      <c r="G84" s="123">
        <v>93.0</v>
      </c>
      <c r="H84" s="124" t="str">
        <f>B77</f>
        <v>robster</v>
      </c>
      <c r="I84" s="123">
        <v>217.0</v>
      </c>
      <c r="J84" s="124" t="str">
        <f>B77</f>
        <v>robster</v>
      </c>
      <c r="K84" s="123">
        <v>136.0</v>
      </c>
      <c r="L84" s="124" t="str">
        <f>B83</f>
        <v>Eroticus</v>
      </c>
      <c r="M84" s="123">
        <v>40.0</v>
      </c>
      <c r="N84" s="124" t="str">
        <f>B82</f>
        <v>12thManStanding</v>
      </c>
      <c r="O84" s="123">
        <v>85.0</v>
      </c>
    </row>
    <row r="85">
      <c r="A85" s="41"/>
    </row>
    <row r="86">
      <c r="A86" s="41"/>
      <c r="B86" s="13" t="s">
        <v>362</v>
      </c>
      <c r="C86" s="15"/>
      <c r="D86" s="15"/>
      <c r="E86" s="15"/>
      <c r="F86" s="15"/>
      <c r="G86" s="15"/>
      <c r="H86" s="15"/>
      <c r="I86" s="15"/>
      <c r="J86" s="15"/>
      <c r="K86" s="15"/>
      <c r="L86" s="15"/>
      <c r="M86" s="15"/>
      <c r="N86" s="15"/>
      <c r="O86" s="20"/>
    </row>
    <row r="87">
      <c r="A87" s="96"/>
      <c r="B87" s="97">
        <f>B$3</f>
        <v>43226</v>
      </c>
      <c r="C87" s="20"/>
      <c r="D87" s="97">
        <f>B87+7</f>
        <v>43233</v>
      </c>
      <c r="E87" s="20"/>
      <c r="F87" s="97">
        <f>D87+7</f>
        <v>43240</v>
      </c>
      <c r="G87" s="20"/>
      <c r="H87" s="97">
        <f>F87+7</f>
        <v>43247</v>
      </c>
      <c r="I87" s="20"/>
      <c r="J87" s="97">
        <f>H87+7</f>
        <v>43254</v>
      </c>
      <c r="K87" s="20"/>
      <c r="L87" s="97">
        <f>J87+7</f>
        <v>43261</v>
      </c>
      <c r="M87" s="20"/>
      <c r="N87" s="97">
        <f>L87+7</f>
        <v>43268</v>
      </c>
      <c r="O87" s="20"/>
    </row>
    <row r="88">
      <c r="A88" s="99"/>
      <c r="B88" s="100" t="s">
        <v>70</v>
      </c>
      <c r="C88" s="20"/>
      <c r="D88" s="100" t="s">
        <v>74</v>
      </c>
      <c r="E88" s="20"/>
      <c r="F88" s="100" t="s">
        <v>76</v>
      </c>
      <c r="G88" s="20"/>
      <c r="H88" s="100" t="s">
        <v>78</v>
      </c>
      <c r="I88" s="20"/>
      <c r="J88" s="100" t="s">
        <v>80</v>
      </c>
      <c r="K88" s="20"/>
      <c r="L88" s="100" t="s">
        <v>82</v>
      </c>
      <c r="M88" s="20"/>
      <c r="N88" s="100" t="s">
        <v>86</v>
      </c>
      <c r="O88" s="20"/>
    </row>
    <row r="89">
      <c r="A89" s="96"/>
      <c r="B89" s="101" t="s">
        <v>192</v>
      </c>
      <c r="C89" s="102">
        <v>225.0</v>
      </c>
      <c r="D89" s="103" t="str">
        <f>B92</f>
        <v>Peaceminusone</v>
      </c>
      <c r="E89" s="104">
        <v>0.0</v>
      </c>
      <c r="F89" s="105" t="str">
        <f>B96</f>
        <v>DrRerNate</v>
      </c>
      <c r="G89" s="104">
        <v>263.0</v>
      </c>
      <c r="H89" s="105" t="str">
        <f>B95</f>
        <v>Backburner</v>
      </c>
      <c r="I89" s="104">
        <v>131.0</v>
      </c>
      <c r="J89" s="105" t="str">
        <f>B90</f>
        <v>BillyPilgrim</v>
      </c>
      <c r="K89" s="104">
        <v>147.0</v>
      </c>
      <c r="L89" s="105" t="str">
        <f>B94</f>
        <v>kissfish</v>
      </c>
      <c r="M89" s="104">
        <v>153.0</v>
      </c>
      <c r="N89" s="105" t="str">
        <f t="shared" ref="N89:N90" si="43">B91</f>
        <v>JimmyLin</v>
      </c>
      <c r="O89" s="104">
        <v>256.0</v>
      </c>
    </row>
    <row r="90">
      <c r="A90" s="96"/>
      <c r="B90" s="101" t="s">
        <v>196</v>
      </c>
      <c r="C90" s="102">
        <v>62.0</v>
      </c>
      <c r="D90" s="108" t="str">
        <f>B89</f>
        <v>Sjir</v>
      </c>
      <c r="E90" s="109">
        <v>247.0</v>
      </c>
      <c r="F90" s="101" t="str">
        <f>B90</f>
        <v>BillyPilgrim</v>
      </c>
      <c r="G90" s="109">
        <v>195.0</v>
      </c>
      <c r="H90" s="101" t="str">
        <f>B91</f>
        <v>JimmyLin</v>
      </c>
      <c r="I90" s="109">
        <v>179.0</v>
      </c>
      <c r="J90" s="101" t="str">
        <f>B92</f>
        <v>Peaceminusone</v>
      </c>
      <c r="K90" s="109">
        <v>151.0</v>
      </c>
      <c r="L90" s="101" t="str">
        <f>B91</f>
        <v>JimmyLin</v>
      </c>
      <c r="M90" s="109">
        <v>221.0</v>
      </c>
      <c r="N90" s="101" t="str">
        <f t="shared" si="43"/>
        <v>Peaceminusone</v>
      </c>
      <c r="O90" s="109">
        <v>160.0</v>
      </c>
    </row>
    <row r="91">
      <c r="A91" s="96"/>
      <c r="B91" s="101" t="s">
        <v>190</v>
      </c>
      <c r="C91" s="102">
        <v>128.0</v>
      </c>
      <c r="D91" s="108" t="str">
        <f t="shared" ref="D91:D92" si="44">B94</f>
        <v>kissfish</v>
      </c>
      <c r="E91" s="109">
        <v>155.0</v>
      </c>
      <c r="F91" s="101" t="str">
        <f>B95</f>
        <v>Backburner</v>
      </c>
      <c r="G91" s="109">
        <v>134.0</v>
      </c>
      <c r="H91" s="101" t="str">
        <f>B94</f>
        <v>kissfish</v>
      </c>
      <c r="I91" s="109">
        <v>179.0</v>
      </c>
      <c r="J91" s="101" t="str">
        <f>B94</f>
        <v>kissfish</v>
      </c>
      <c r="K91" s="109">
        <v>171.0</v>
      </c>
      <c r="L91" s="101" t="str">
        <f>B89</f>
        <v>Sjir</v>
      </c>
      <c r="M91" s="109">
        <v>183.0</v>
      </c>
      <c r="N91" s="101" t="str">
        <f t="shared" ref="N91:N92" si="45">B95</f>
        <v>Backburner</v>
      </c>
      <c r="O91" s="109">
        <v>195.0</v>
      </c>
    </row>
    <row r="92">
      <c r="A92" s="96"/>
      <c r="B92" s="101" t="s">
        <v>198</v>
      </c>
      <c r="C92" s="119">
        <v>97.0</v>
      </c>
      <c r="D92" s="121" t="str">
        <f t="shared" si="44"/>
        <v>Backburner</v>
      </c>
      <c r="E92" s="123">
        <v>159.0</v>
      </c>
      <c r="F92" s="124" t="str">
        <f>B89</f>
        <v>Sjir</v>
      </c>
      <c r="G92" s="123">
        <v>204.0</v>
      </c>
      <c r="H92" s="124" t="str">
        <f>B90</f>
        <v>BillyPilgrim</v>
      </c>
      <c r="I92" s="123">
        <v>153.0</v>
      </c>
      <c r="J92" s="124" t="str">
        <f>B96</f>
        <v>DrRerNate</v>
      </c>
      <c r="K92" s="123">
        <v>195.0</v>
      </c>
      <c r="L92" s="124" t="str">
        <f>B96</f>
        <v>DrRerNate</v>
      </c>
      <c r="M92" s="123">
        <v>104.0</v>
      </c>
      <c r="N92" s="124" t="str">
        <f t="shared" si="45"/>
        <v>DrRerNate</v>
      </c>
      <c r="O92" s="123">
        <v>286.0</v>
      </c>
    </row>
    <row r="93">
      <c r="A93" s="96"/>
      <c r="B93" s="127" t="s">
        <v>125</v>
      </c>
      <c r="C93" s="20"/>
      <c r="D93" s="128" t="s">
        <v>127</v>
      </c>
      <c r="E93" s="83"/>
      <c r="F93" s="130" t="s">
        <v>128</v>
      </c>
      <c r="G93" s="83"/>
      <c r="H93" s="130" t="s">
        <v>129</v>
      </c>
      <c r="I93" s="83"/>
      <c r="J93" s="130" t="s">
        <v>130</v>
      </c>
      <c r="K93" s="83"/>
      <c r="L93" s="130" t="s">
        <v>131</v>
      </c>
      <c r="M93" s="83"/>
      <c r="N93" s="130" t="s">
        <v>133</v>
      </c>
      <c r="O93" s="83"/>
    </row>
    <row r="94">
      <c r="A94" s="96"/>
      <c r="B94" s="101" t="s">
        <v>194</v>
      </c>
      <c r="C94" s="102">
        <v>77.0</v>
      </c>
      <c r="D94" s="108" t="str">
        <f t="shared" ref="D94:D95" si="46">B90</f>
        <v>BillyPilgrim</v>
      </c>
      <c r="E94" s="109">
        <v>124.0</v>
      </c>
      <c r="F94" s="101" t="str">
        <f t="shared" ref="F94:F95" si="47">B91</f>
        <v>JimmyLin</v>
      </c>
      <c r="G94" s="109">
        <v>123.0</v>
      </c>
      <c r="H94" s="101" t="str">
        <f>B96</f>
        <v>DrRerNate</v>
      </c>
      <c r="I94" s="109">
        <v>239.0</v>
      </c>
      <c r="J94" s="101" t="str">
        <f>B95</f>
        <v>Backburner</v>
      </c>
      <c r="K94" s="109">
        <v>154.0</v>
      </c>
      <c r="L94" s="101" t="str">
        <f>B92</f>
        <v>Peaceminusone</v>
      </c>
      <c r="M94" s="109">
        <v>212.0</v>
      </c>
      <c r="N94" s="101" t="str">
        <f t="shared" ref="N94:N95" si="48">B89</f>
        <v>Sjir</v>
      </c>
      <c r="O94" s="109">
        <v>117.0</v>
      </c>
    </row>
    <row r="95">
      <c r="A95" s="96"/>
      <c r="B95" s="101" t="s">
        <v>200</v>
      </c>
      <c r="C95" s="102">
        <v>105.0</v>
      </c>
      <c r="D95" s="108" t="str">
        <f t="shared" si="46"/>
        <v>JimmyLin</v>
      </c>
      <c r="E95" s="109">
        <v>168.0</v>
      </c>
      <c r="F95" s="101" t="str">
        <f t="shared" si="47"/>
        <v>Peaceminusone</v>
      </c>
      <c r="G95" s="109">
        <v>61.0</v>
      </c>
      <c r="H95" s="101" t="str">
        <f>B92</f>
        <v>Peaceminusone</v>
      </c>
      <c r="I95" s="109">
        <v>118.0</v>
      </c>
      <c r="J95" s="101" t="str">
        <f>B91</f>
        <v>JimmyLin</v>
      </c>
      <c r="K95" s="109">
        <v>190.0</v>
      </c>
      <c r="L95" s="101" t="str">
        <f>B90</f>
        <v>BillyPilgrim</v>
      </c>
      <c r="M95" s="109">
        <v>206.0</v>
      </c>
      <c r="N95" s="101" t="str">
        <f t="shared" si="48"/>
        <v>BillyPilgrim</v>
      </c>
      <c r="O95" s="109">
        <v>202.0</v>
      </c>
    </row>
    <row r="96">
      <c r="A96" s="96"/>
      <c r="B96" s="124" t="s">
        <v>188</v>
      </c>
      <c r="C96" s="119">
        <v>175.0</v>
      </c>
      <c r="D96" s="121" t="str">
        <f>B96</f>
        <v>DrRerNate</v>
      </c>
      <c r="E96" s="123">
        <v>183.0</v>
      </c>
      <c r="F96" s="124" t="str">
        <f>B94</f>
        <v>kissfish</v>
      </c>
      <c r="G96" s="123">
        <v>119.0</v>
      </c>
      <c r="H96" s="124" t="str">
        <f>B89</f>
        <v>Sjir</v>
      </c>
      <c r="I96" s="123">
        <v>181.0</v>
      </c>
      <c r="J96" s="124" t="str">
        <f>B89</f>
        <v>Sjir</v>
      </c>
      <c r="K96" s="123">
        <v>222.0</v>
      </c>
      <c r="L96" s="124" t="str">
        <f>B95</f>
        <v>Backburner</v>
      </c>
      <c r="M96" s="123">
        <v>191.0</v>
      </c>
      <c r="N96" s="124" t="str">
        <f>B94</f>
        <v>kissfish</v>
      </c>
      <c r="O96" s="123">
        <v>163.0</v>
      </c>
    </row>
    <row r="97">
      <c r="A97" s="41"/>
    </row>
    <row r="98">
      <c r="A98" s="41"/>
    </row>
    <row r="99">
      <c r="A99" s="41"/>
    </row>
    <row r="100">
      <c r="A100" s="41"/>
    </row>
    <row r="101">
      <c r="A101" s="41"/>
    </row>
    <row r="102">
      <c r="A102" s="41"/>
    </row>
    <row r="103">
      <c r="A103" s="41"/>
    </row>
    <row r="104">
      <c r="A104" s="41"/>
    </row>
    <row r="105">
      <c r="A105" s="41"/>
    </row>
    <row r="106">
      <c r="A106" s="41"/>
    </row>
    <row r="107">
      <c r="A107" s="41"/>
    </row>
    <row r="108">
      <c r="A108" s="41"/>
    </row>
    <row r="109">
      <c r="A109" s="41"/>
    </row>
    <row r="110">
      <c r="A110" s="41"/>
    </row>
    <row r="111">
      <c r="A111" s="41"/>
    </row>
    <row r="112">
      <c r="A112" s="41"/>
    </row>
    <row r="113">
      <c r="A113" s="41"/>
    </row>
    <row r="114">
      <c r="A114" s="41"/>
    </row>
    <row r="115">
      <c r="A115" s="41"/>
    </row>
    <row r="116">
      <c r="A116" s="41"/>
    </row>
    <row r="117">
      <c r="A117" s="41"/>
    </row>
    <row r="118">
      <c r="A118" s="41"/>
    </row>
    <row r="119">
      <c r="A119" s="41"/>
    </row>
    <row r="120">
      <c r="A120" s="41"/>
    </row>
    <row r="121">
      <c r="A121" s="41"/>
    </row>
    <row r="122">
      <c r="A122" s="41"/>
    </row>
    <row r="123">
      <c r="A123" s="41"/>
    </row>
    <row r="124">
      <c r="A124" s="41"/>
    </row>
    <row r="125">
      <c r="A125" s="41"/>
    </row>
    <row r="126">
      <c r="A126" s="41"/>
    </row>
    <row r="127">
      <c r="A127" s="41"/>
    </row>
    <row r="128">
      <c r="A128" s="41"/>
    </row>
    <row r="129">
      <c r="A129" s="41"/>
    </row>
    <row r="130">
      <c r="A130" s="41"/>
    </row>
    <row r="131">
      <c r="A131" s="41"/>
    </row>
    <row r="132">
      <c r="A132" s="41"/>
    </row>
    <row r="133">
      <c r="A133" s="41"/>
    </row>
    <row r="134">
      <c r="A134" s="41"/>
    </row>
    <row r="135">
      <c r="A135" s="41"/>
    </row>
    <row r="136">
      <c r="A136" s="41"/>
    </row>
    <row r="137">
      <c r="A137" s="41"/>
    </row>
    <row r="138">
      <c r="A138" s="41"/>
    </row>
    <row r="139">
      <c r="A139" s="41"/>
    </row>
    <row r="140">
      <c r="A140" s="41"/>
    </row>
    <row r="141">
      <c r="A141" s="41"/>
    </row>
    <row r="142">
      <c r="A142" s="41"/>
    </row>
    <row r="143">
      <c r="A143" s="41"/>
    </row>
    <row r="144">
      <c r="A144" s="41"/>
    </row>
    <row r="145">
      <c r="A145" s="41"/>
    </row>
    <row r="146">
      <c r="A146" s="41"/>
    </row>
    <row r="147">
      <c r="A147" s="41"/>
    </row>
    <row r="148">
      <c r="A148" s="41"/>
    </row>
    <row r="149">
      <c r="A149" s="41"/>
    </row>
    <row r="150">
      <c r="A150" s="41"/>
    </row>
    <row r="151">
      <c r="A151" s="41"/>
    </row>
    <row r="152">
      <c r="A152" s="41"/>
    </row>
    <row r="153">
      <c r="A153" s="41"/>
    </row>
    <row r="154">
      <c r="A154" s="41"/>
    </row>
    <row r="155">
      <c r="A155" s="41"/>
    </row>
    <row r="156">
      <c r="A156" s="41"/>
    </row>
    <row r="157">
      <c r="A157" s="41"/>
    </row>
    <row r="158">
      <c r="A158" s="41"/>
    </row>
    <row r="159">
      <c r="A159" s="41"/>
    </row>
    <row r="160">
      <c r="A160" s="41"/>
    </row>
    <row r="161">
      <c r="A161" s="41"/>
    </row>
    <row r="162">
      <c r="A162" s="41"/>
    </row>
    <row r="163">
      <c r="A163" s="41"/>
    </row>
    <row r="164">
      <c r="A164" s="41"/>
    </row>
    <row r="165">
      <c r="A165" s="41"/>
    </row>
    <row r="166">
      <c r="A166" s="41"/>
    </row>
    <row r="167">
      <c r="A167" s="41"/>
    </row>
    <row r="168">
      <c r="A168" s="41"/>
    </row>
    <row r="169">
      <c r="A169" s="41"/>
    </row>
    <row r="170">
      <c r="A170" s="41"/>
    </row>
    <row r="171">
      <c r="A171" s="41"/>
    </row>
    <row r="172">
      <c r="A172" s="41"/>
    </row>
    <row r="173">
      <c r="A173" s="41"/>
    </row>
    <row r="174">
      <c r="A174" s="41"/>
    </row>
    <row r="175">
      <c r="A175" s="41"/>
    </row>
    <row r="176">
      <c r="A176" s="41"/>
    </row>
    <row r="177">
      <c r="A177" s="41"/>
    </row>
    <row r="178">
      <c r="A178" s="41"/>
    </row>
    <row r="179">
      <c r="A179" s="41"/>
    </row>
    <row r="180">
      <c r="A180" s="41"/>
    </row>
    <row r="181">
      <c r="A181" s="41"/>
    </row>
    <row r="182">
      <c r="A182" s="41"/>
    </row>
    <row r="183">
      <c r="A183" s="41"/>
    </row>
    <row r="184">
      <c r="A184" s="41"/>
    </row>
    <row r="185">
      <c r="A185" s="41"/>
    </row>
    <row r="186">
      <c r="A186" s="41"/>
    </row>
    <row r="187">
      <c r="A187" s="41"/>
    </row>
    <row r="188">
      <c r="A188" s="41"/>
    </row>
    <row r="189">
      <c r="A189" s="41"/>
    </row>
    <row r="190">
      <c r="A190" s="41"/>
    </row>
    <row r="191">
      <c r="A191" s="41"/>
    </row>
    <row r="192">
      <c r="A192" s="41"/>
    </row>
    <row r="193">
      <c r="A193" s="41"/>
    </row>
    <row r="194">
      <c r="A194" s="41"/>
    </row>
    <row r="195">
      <c r="A195" s="41"/>
    </row>
    <row r="196">
      <c r="A196" s="41"/>
    </row>
    <row r="197">
      <c r="A197" s="41"/>
    </row>
    <row r="198">
      <c r="A198" s="41"/>
    </row>
    <row r="199">
      <c r="A199" s="41"/>
    </row>
    <row r="200">
      <c r="A200" s="41"/>
    </row>
    <row r="201">
      <c r="A201" s="41"/>
    </row>
    <row r="202">
      <c r="A202" s="41"/>
    </row>
    <row r="203">
      <c r="A203" s="41"/>
    </row>
    <row r="204">
      <c r="A204" s="41"/>
    </row>
    <row r="205">
      <c r="A205" s="41"/>
    </row>
    <row r="206">
      <c r="A206" s="41"/>
    </row>
    <row r="207">
      <c r="A207" s="41"/>
    </row>
    <row r="208">
      <c r="A208" s="41"/>
    </row>
    <row r="209">
      <c r="A209" s="41"/>
    </row>
    <row r="210">
      <c r="A210" s="41"/>
    </row>
    <row r="211">
      <c r="A211" s="41"/>
    </row>
    <row r="212">
      <c r="A212" s="41"/>
    </row>
    <row r="213">
      <c r="A213" s="41"/>
    </row>
    <row r="214">
      <c r="A214" s="41"/>
    </row>
    <row r="215">
      <c r="A215" s="41"/>
    </row>
    <row r="216">
      <c r="A216" s="41"/>
    </row>
    <row r="217">
      <c r="A217" s="41"/>
    </row>
    <row r="218">
      <c r="A218" s="41"/>
    </row>
    <row r="219">
      <c r="A219" s="41"/>
    </row>
    <row r="220">
      <c r="A220" s="41"/>
    </row>
    <row r="221">
      <c r="A221" s="41"/>
    </row>
    <row r="222">
      <c r="A222" s="41"/>
    </row>
    <row r="223">
      <c r="A223" s="41"/>
    </row>
    <row r="224">
      <c r="A224" s="41"/>
    </row>
    <row r="225">
      <c r="A225" s="41"/>
    </row>
    <row r="226">
      <c r="A226" s="41"/>
    </row>
    <row r="227">
      <c r="A227" s="41"/>
    </row>
    <row r="228">
      <c r="A228" s="41"/>
    </row>
    <row r="229">
      <c r="A229" s="41"/>
    </row>
    <row r="230">
      <c r="A230" s="41"/>
    </row>
    <row r="231">
      <c r="A231" s="41"/>
    </row>
    <row r="232">
      <c r="A232" s="41"/>
    </row>
    <row r="233">
      <c r="A233" s="41"/>
    </row>
    <row r="234">
      <c r="A234" s="41"/>
    </row>
    <row r="235">
      <c r="A235" s="41"/>
    </row>
    <row r="236">
      <c r="A236" s="41"/>
    </row>
    <row r="237">
      <c r="A237" s="41"/>
    </row>
    <row r="238">
      <c r="A238" s="41"/>
    </row>
    <row r="239">
      <c r="A239" s="41"/>
    </row>
    <row r="240">
      <c r="A240" s="41"/>
    </row>
    <row r="241">
      <c r="A241" s="41"/>
    </row>
    <row r="242">
      <c r="A242" s="41"/>
    </row>
    <row r="243">
      <c r="A243" s="41"/>
    </row>
    <row r="244">
      <c r="A244" s="41"/>
    </row>
    <row r="245">
      <c r="A245" s="41"/>
    </row>
    <row r="246">
      <c r="A246" s="41"/>
    </row>
    <row r="247">
      <c r="A247" s="41"/>
    </row>
    <row r="248">
      <c r="A248" s="41"/>
    </row>
    <row r="249">
      <c r="A249" s="41"/>
    </row>
    <row r="250">
      <c r="A250" s="41"/>
    </row>
    <row r="251">
      <c r="A251" s="41"/>
    </row>
    <row r="252">
      <c r="A252" s="41"/>
    </row>
    <row r="253">
      <c r="A253" s="41"/>
    </row>
    <row r="254">
      <c r="A254" s="41"/>
    </row>
    <row r="255">
      <c r="A255" s="41"/>
    </row>
    <row r="256">
      <c r="A256" s="41"/>
    </row>
    <row r="257">
      <c r="A257" s="41"/>
    </row>
    <row r="258">
      <c r="A258" s="41"/>
    </row>
    <row r="259">
      <c r="A259" s="41"/>
    </row>
    <row r="260">
      <c r="A260" s="41"/>
    </row>
    <row r="261">
      <c r="A261" s="41"/>
    </row>
    <row r="262">
      <c r="A262" s="41"/>
    </row>
    <row r="263">
      <c r="A263" s="41"/>
    </row>
    <row r="264">
      <c r="A264" s="41"/>
    </row>
    <row r="265">
      <c r="A265" s="41"/>
    </row>
    <row r="266">
      <c r="A266" s="41"/>
    </row>
    <row r="267">
      <c r="A267" s="41"/>
    </row>
    <row r="268">
      <c r="A268" s="41"/>
    </row>
    <row r="269">
      <c r="A269" s="41"/>
    </row>
    <row r="270">
      <c r="A270" s="41"/>
    </row>
    <row r="271">
      <c r="A271" s="41"/>
    </row>
    <row r="272">
      <c r="A272" s="41"/>
    </row>
    <row r="273">
      <c r="A273" s="41"/>
    </row>
    <row r="274">
      <c r="A274" s="41"/>
    </row>
    <row r="275">
      <c r="A275" s="41"/>
    </row>
    <row r="276">
      <c r="A276" s="41"/>
    </row>
    <row r="277">
      <c r="A277" s="41"/>
    </row>
    <row r="278">
      <c r="A278" s="41"/>
    </row>
    <row r="279">
      <c r="A279" s="41"/>
    </row>
    <row r="280">
      <c r="A280" s="41"/>
    </row>
    <row r="281">
      <c r="A281" s="41"/>
    </row>
    <row r="282">
      <c r="A282" s="41"/>
    </row>
    <row r="283">
      <c r="A283" s="41"/>
    </row>
    <row r="284">
      <c r="A284" s="41"/>
    </row>
    <row r="285">
      <c r="A285" s="41"/>
    </row>
    <row r="286">
      <c r="A286" s="41"/>
    </row>
    <row r="287">
      <c r="A287" s="41"/>
    </row>
    <row r="288">
      <c r="A288" s="41"/>
    </row>
    <row r="289">
      <c r="A289" s="41"/>
    </row>
    <row r="290">
      <c r="A290" s="41"/>
    </row>
    <row r="291">
      <c r="A291" s="41"/>
    </row>
    <row r="292">
      <c r="A292" s="41"/>
    </row>
    <row r="293">
      <c r="A293" s="41"/>
    </row>
    <row r="294">
      <c r="A294" s="41"/>
    </row>
    <row r="295">
      <c r="A295" s="41"/>
    </row>
    <row r="296">
      <c r="A296" s="41"/>
    </row>
    <row r="297">
      <c r="A297" s="41"/>
    </row>
    <row r="298">
      <c r="A298" s="41"/>
    </row>
    <row r="299">
      <c r="A299" s="41"/>
    </row>
    <row r="300">
      <c r="A300" s="41"/>
    </row>
    <row r="301">
      <c r="A301" s="41"/>
    </row>
    <row r="302">
      <c r="A302" s="41"/>
    </row>
    <row r="303">
      <c r="A303" s="41"/>
    </row>
    <row r="304">
      <c r="A304" s="41"/>
    </row>
    <row r="305">
      <c r="A305" s="41"/>
    </row>
    <row r="306">
      <c r="A306" s="41"/>
    </row>
    <row r="307">
      <c r="A307" s="41"/>
    </row>
    <row r="308">
      <c r="A308" s="41"/>
    </row>
    <row r="309">
      <c r="A309" s="41"/>
    </row>
    <row r="310">
      <c r="A310" s="41"/>
    </row>
    <row r="311">
      <c r="A311" s="41"/>
    </row>
    <row r="312">
      <c r="A312" s="41"/>
    </row>
    <row r="313">
      <c r="A313" s="41"/>
    </row>
    <row r="314">
      <c r="A314" s="41"/>
    </row>
    <row r="315">
      <c r="A315" s="41"/>
    </row>
    <row r="316">
      <c r="A316" s="41"/>
    </row>
    <row r="317">
      <c r="A317" s="41"/>
    </row>
    <row r="318">
      <c r="A318" s="41"/>
    </row>
    <row r="319">
      <c r="A319" s="41"/>
    </row>
    <row r="320">
      <c r="A320" s="41"/>
    </row>
    <row r="321">
      <c r="A321" s="41"/>
    </row>
    <row r="322">
      <c r="A322" s="41"/>
    </row>
    <row r="323">
      <c r="A323" s="41"/>
    </row>
    <row r="324">
      <c r="A324" s="41"/>
    </row>
    <row r="325">
      <c r="A325" s="41"/>
    </row>
    <row r="326">
      <c r="A326" s="41"/>
    </row>
    <row r="327">
      <c r="A327" s="41"/>
    </row>
    <row r="328">
      <c r="A328" s="41"/>
    </row>
    <row r="329">
      <c r="A329" s="41"/>
    </row>
    <row r="330">
      <c r="A330" s="41"/>
    </row>
    <row r="331">
      <c r="A331" s="41"/>
    </row>
    <row r="332">
      <c r="A332" s="41"/>
    </row>
    <row r="333">
      <c r="A333" s="41"/>
    </row>
    <row r="334">
      <c r="A334" s="41"/>
    </row>
    <row r="335">
      <c r="A335" s="41"/>
    </row>
    <row r="336">
      <c r="A336" s="41"/>
    </row>
    <row r="337">
      <c r="A337" s="41"/>
    </row>
    <row r="338">
      <c r="A338" s="41"/>
    </row>
    <row r="339">
      <c r="A339" s="41"/>
    </row>
    <row r="340">
      <c r="A340" s="41"/>
    </row>
    <row r="341">
      <c r="A341" s="41"/>
    </row>
    <row r="342">
      <c r="A342" s="41"/>
    </row>
    <row r="343">
      <c r="A343" s="41"/>
    </row>
    <row r="344">
      <c r="A344" s="41"/>
    </row>
    <row r="345">
      <c r="A345" s="41"/>
    </row>
    <row r="346">
      <c r="A346" s="41"/>
    </row>
    <row r="347">
      <c r="A347" s="41"/>
    </row>
    <row r="348">
      <c r="A348" s="41"/>
    </row>
    <row r="349">
      <c r="A349" s="41"/>
    </row>
    <row r="350">
      <c r="A350" s="41"/>
    </row>
    <row r="351">
      <c r="A351" s="41"/>
    </row>
    <row r="352">
      <c r="A352" s="41"/>
    </row>
    <row r="353">
      <c r="A353" s="41"/>
    </row>
    <row r="354">
      <c r="A354" s="41"/>
    </row>
    <row r="355">
      <c r="A355" s="41"/>
    </row>
    <row r="356">
      <c r="A356" s="41"/>
    </row>
    <row r="357">
      <c r="A357" s="41"/>
    </row>
    <row r="358">
      <c r="A358" s="41"/>
    </row>
    <row r="359">
      <c r="A359" s="41"/>
    </row>
    <row r="360">
      <c r="A360" s="41"/>
    </row>
    <row r="361">
      <c r="A361" s="41"/>
    </row>
    <row r="362">
      <c r="A362" s="41"/>
    </row>
    <row r="363">
      <c r="A363" s="41"/>
    </row>
    <row r="364">
      <c r="A364" s="41"/>
    </row>
    <row r="365">
      <c r="A365" s="41"/>
    </row>
    <row r="366">
      <c r="A366" s="41"/>
    </row>
    <row r="367">
      <c r="A367" s="41"/>
    </row>
    <row r="368">
      <c r="A368" s="41"/>
    </row>
    <row r="369">
      <c r="A369" s="41"/>
    </row>
    <row r="370">
      <c r="A370" s="41"/>
    </row>
    <row r="371">
      <c r="A371" s="41"/>
    </row>
    <row r="372">
      <c r="A372" s="41"/>
    </row>
    <row r="373">
      <c r="A373" s="41"/>
    </row>
    <row r="374">
      <c r="A374" s="41"/>
    </row>
    <row r="375">
      <c r="A375" s="41"/>
    </row>
    <row r="376">
      <c r="A376" s="41"/>
    </row>
    <row r="377">
      <c r="A377" s="41"/>
    </row>
    <row r="378">
      <c r="A378" s="41"/>
    </row>
    <row r="379">
      <c r="A379" s="41"/>
    </row>
    <row r="380">
      <c r="A380" s="41"/>
    </row>
    <row r="381">
      <c r="A381" s="41"/>
    </row>
    <row r="382">
      <c r="A382" s="41"/>
    </row>
    <row r="383">
      <c r="A383" s="41"/>
    </row>
    <row r="384">
      <c r="A384" s="41"/>
    </row>
    <row r="385">
      <c r="A385" s="41"/>
    </row>
    <row r="386">
      <c r="A386" s="41"/>
    </row>
    <row r="387">
      <c r="A387" s="41"/>
    </row>
    <row r="388">
      <c r="A388" s="41"/>
    </row>
    <row r="389">
      <c r="A389" s="41"/>
    </row>
    <row r="390">
      <c r="A390" s="41"/>
    </row>
    <row r="391">
      <c r="A391" s="41"/>
    </row>
    <row r="392">
      <c r="A392" s="41"/>
    </row>
    <row r="393">
      <c r="A393" s="41"/>
    </row>
    <row r="394">
      <c r="A394" s="41"/>
    </row>
    <row r="395">
      <c r="A395" s="41"/>
    </row>
    <row r="396">
      <c r="A396" s="41"/>
    </row>
    <row r="397">
      <c r="A397" s="41"/>
    </row>
    <row r="398">
      <c r="A398" s="41"/>
    </row>
    <row r="399">
      <c r="A399" s="41"/>
    </row>
    <row r="400">
      <c r="A400" s="41"/>
    </row>
    <row r="401">
      <c r="A401" s="41"/>
    </row>
    <row r="402">
      <c r="A402" s="41"/>
    </row>
    <row r="403">
      <c r="A403" s="41"/>
    </row>
    <row r="404">
      <c r="A404" s="41"/>
    </row>
    <row r="405">
      <c r="A405" s="41"/>
    </row>
    <row r="406">
      <c r="A406" s="41"/>
    </row>
    <row r="407">
      <c r="A407" s="41"/>
    </row>
    <row r="408">
      <c r="A408" s="41"/>
    </row>
    <row r="409">
      <c r="A409" s="41"/>
    </row>
    <row r="410">
      <c r="A410" s="41"/>
    </row>
    <row r="411">
      <c r="A411" s="41"/>
    </row>
    <row r="412">
      <c r="A412" s="41"/>
    </row>
    <row r="413">
      <c r="A413" s="41"/>
    </row>
    <row r="414">
      <c r="A414" s="41"/>
    </row>
    <row r="415">
      <c r="A415" s="41"/>
    </row>
    <row r="416">
      <c r="A416" s="41"/>
    </row>
    <row r="417">
      <c r="A417" s="41"/>
    </row>
    <row r="418">
      <c r="A418" s="41"/>
    </row>
    <row r="419">
      <c r="A419" s="41"/>
    </row>
    <row r="420">
      <c r="A420" s="41"/>
    </row>
    <row r="421">
      <c r="A421" s="41"/>
    </row>
    <row r="422">
      <c r="A422" s="41"/>
    </row>
    <row r="423">
      <c r="A423" s="41"/>
    </row>
    <row r="424">
      <c r="A424" s="41"/>
    </row>
    <row r="425">
      <c r="A425" s="41"/>
    </row>
    <row r="426">
      <c r="A426" s="41"/>
    </row>
    <row r="427">
      <c r="A427" s="41"/>
    </row>
    <row r="428">
      <c r="A428" s="41"/>
    </row>
    <row r="429">
      <c r="A429" s="41"/>
    </row>
    <row r="430">
      <c r="A430" s="41"/>
    </row>
    <row r="431">
      <c r="A431" s="41"/>
    </row>
    <row r="432">
      <c r="A432" s="41"/>
    </row>
    <row r="433">
      <c r="A433" s="41"/>
    </row>
    <row r="434">
      <c r="A434" s="41"/>
    </row>
    <row r="435">
      <c r="A435" s="41"/>
    </row>
    <row r="436">
      <c r="A436" s="41"/>
    </row>
    <row r="437">
      <c r="A437" s="41"/>
    </row>
    <row r="438">
      <c r="A438" s="41"/>
    </row>
    <row r="439">
      <c r="A439" s="41"/>
    </row>
    <row r="440">
      <c r="A440" s="41"/>
    </row>
    <row r="441">
      <c r="A441" s="41"/>
    </row>
    <row r="442">
      <c r="A442" s="41"/>
    </row>
    <row r="443">
      <c r="A443" s="41"/>
    </row>
    <row r="444">
      <c r="A444" s="41"/>
    </row>
    <row r="445">
      <c r="A445" s="41"/>
    </row>
    <row r="446">
      <c r="A446" s="41"/>
    </row>
    <row r="447">
      <c r="A447" s="41"/>
    </row>
    <row r="448">
      <c r="A448" s="41"/>
    </row>
    <row r="449">
      <c r="A449" s="41"/>
    </row>
    <row r="450">
      <c r="A450" s="41"/>
    </row>
    <row r="451">
      <c r="A451" s="41"/>
    </row>
    <row r="452">
      <c r="A452" s="41"/>
    </row>
    <row r="453">
      <c r="A453" s="41"/>
    </row>
    <row r="454">
      <c r="A454" s="41"/>
    </row>
    <row r="455">
      <c r="A455" s="41"/>
    </row>
    <row r="456">
      <c r="A456" s="41"/>
    </row>
    <row r="457">
      <c r="A457" s="41"/>
    </row>
    <row r="458">
      <c r="A458" s="41"/>
    </row>
    <row r="459">
      <c r="A459" s="41"/>
    </row>
    <row r="460">
      <c r="A460" s="41"/>
    </row>
    <row r="461">
      <c r="A461" s="41"/>
    </row>
    <row r="462">
      <c r="A462" s="41"/>
    </row>
    <row r="463">
      <c r="A463" s="41"/>
    </row>
    <row r="464">
      <c r="A464" s="41"/>
    </row>
    <row r="465">
      <c r="A465" s="41"/>
    </row>
    <row r="466">
      <c r="A466" s="41"/>
    </row>
    <row r="467">
      <c r="A467" s="41"/>
    </row>
    <row r="468">
      <c r="A468" s="41"/>
    </row>
    <row r="469">
      <c r="A469" s="41"/>
    </row>
    <row r="470">
      <c r="A470" s="41"/>
    </row>
    <row r="471">
      <c r="A471" s="41"/>
    </row>
    <row r="472">
      <c r="A472" s="41"/>
    </row>
    <row r="473">
      <c r="A473" s="41"/>
    </row>
    <row r="474">
      <c r="A474" s="41"/>
    </row>
    <row r="475">
      <c r="A475" s="41"/>
    </row>
    <row r="476">
      <c r="A476" s="41"/>
    </row>
    <row r="477">
      <c r="A477" s="41"/>
    </row>
    <row r="478">
      <c r="A478" s="41"/>
    </row>
    <row r="479">
      <c r="A479" s="41"/>
    </row>
    <row r="480">
      <c r="A480" s="41"/>
    </row>
    <row r="481">
      <c r="A481" s="41"/>
    </row>
    <row r="482">
      <c r="A482" s="41"/>
    </row>
    <row r="483">
      <c r="A483" s="41"/>
    </row>
    <row r="484">
      <c r="A484" s="41"/>
    </row>
    <row r="485">
      <c r="A485" s="41"/>
    </row>
    <row r="486">
      <c r="A486" s="41"/>
    </row>
    <row r="487">
      <c r="A487" s="41"/>
    </row>
    <row r="488">
      <c r="A488" s="41"/>
    </row>
    <row r="489">
      <c r="A489" s="41"/>
    </row>
    <row r="490">
      <c r="A490" s="41"/>
    </row>
    <row r="491">
      <c r="A491" s="41"/>
    </row>
    <row r="492">
      <c r="A492" s="41"/>
    </row>
    <row r="493">
      <c r="A493" s="41"/>
    </row>
    <row r="494">
      <c r="A494" s="41"/>
    </row>
    <row r="495">
      <c r="A495" s="41"/>
    </row>
    <row r="496">
      <c r="A496" s="41"/>
    </row>
    <row r="497">
      <c r="A497" s="41"/>
    </row>
    <row r="498">
      <c r="A498" s="41"/>
    </row>
    <row r="499">
      <c r="A499" s="41"/>
    </row>
    <row r="500">
      <c r="A500" s="41"/>
    </row>
    <row r="501">
      <c r="A501" s="41"/>
    </row>
    <row r="502">
      <c r="A502" s="41"/>
    </row>
    <row r="503">
      <c r="A503" s="41"/>
    </row>
    <row r="504">
      <c r="A504" s="41"/>
    </row>
    <row r="505">
      <c r="A505" s="41"/>
    </row>
    <row r="506">
      <c r="A506" s="41"/>
    </row>
    <row r="507">
      <c r="A507" s="41"/>
    </row>
    <row r="508">
      <c r="A508" s="41"/>
    </row>
    <row r="509">
      <c r="A509" s="41"/>
    </row>
    <row r="510">
      <c r="A510" s="41"/>
    </row>
    <row r="511">
      <c r="A511" s="41"/>
    </row>
    <row r="512">
      <c r="A512" s="41"/>
    </row>
    <row r="513">
      <c r="A513" s="41"/>
    </row>
    <row r="514">
      <c r="A514" s="41"/>
    </row>
    <row r="515">
      <c r="A515" s="41"/>
    </row>
    <row r="516">
      <c r="A516" s="41"/>
    </row>
    <row r="517">
      <c r="A517" s="41"/>
    </row>
    <row r="518">
      <c r="A518" s="41"/>
    </row>
    <row r="519">
      <c r="A519" s="41"/>
    </row>
    <row r="520">
      <c r="A520" s="41"/>
    </row>
    <row r="521">
      <c r="A521" s="41"/>
    </row>
    <row r="522">
      <c r="A522" s="41"/>
    </row>
    <row r="523">
      <c r="A523" s="41"/>
    </row>
    <row r="524">
      <c r="A524" s="41"/>
    </row>
    <row r="525">
      <c r="A525" s="41"/>
    </row>
    <row r="526">
      <c r="A526" s="41"/>
    </row>
    <row r="527">
      <c r="A527" s="41"/>
    </row>
    <row r="528">
      <c r="A528" s="41"/>
    </row>
    <row r="529">
      <c r="A529" s="41"/>
    </row>
    <row r="530">
      <c r="A530" s="41"/>
    </row>
    <row r="531">
      <c r="A531" s="41"/>
    </row>
    <row r="532">
      <c r="A532" s="41"/>
    </row>
    <row r="533">
      <c r="A533" s="41"/>
    </row>
    <row r="534">
      <c r="A534" s="41"/>
    </row>
    <row r="535">
      <c r="A535" s="41"/>
    </row>
    <row r="536">
      <c r="A536" s="41"/>
    </row>
    <row r="537">
      <c r="A537" s="41"/>
    </row>
    <row r="538">
      <c r="A538" s="41"/>
    </row>
    <row r="539">
      <c r="A539" s="41"/>
    </row>
    <row r="540">
      <c r="A540" s="41"/>
    </row>
    <row r="541">
      <c r="A541" s="41"/>
    </row>
    <row r="542">
      <c r="A542" s="41"/>
    </row>
    <row r="543">
      <c r="A543" s="41"/>
    </row>
    <row r="544">
      <c r="A544" s="41"/>
    </row>
    <row r="545">
      <c r="A545" s="41"/>
    </row>
    <row r="546">
      <c r="A546" s="41"/>
    </row>
    <row r="547">
      <c r="A547" s="41"/>
    </row>
    <row r="548">
      <c r="A548" s="41"/>
    </row>
    <row r="549">
      <c r="A549" s="41"/>
    </row>
    <row r="550">
      <c r="A550" s="41"/>
    </row>
    <row r="551">
      <c r="A551" s="41"/>
    </row>
    <row r="552">
      <c r="A552" s="41"/>
    </row>
    <row r="553">
      <c r="A553" s="41"/>
    </row>
    <row r="554">
      <c r="A554" s="41"/>
    </row>
    <row r="555">
      <c r="A555" s="41"/>
    </row>
    <row r="556">
      <c r="A556" s="41"/>
    </row>
    <row r="557">
      <c r="A557" s="41"/>
    </row>
    <row r="558">
      <c r="A558" s="41"/>
    </row>
    <row r="559">
      <c r="A559" s="41"/>
    </row>
    <row r="560">
      <c r="A560" s="41"/>
    </row>
    <row r="561">
      <c r="A561" s="41"/>
    </row>
    <row r="562">
      <c r="A562" s="41"/>
    </row>
    <row r="563">
      <c r="A563" s="41"/>
    </row>
    <row r="564">
      <c r="A564" s="41"/>
    </row>
    <row r="565">
      <c r="A565" s="41"/>
    </row>
    <row r="566">
      <c r="A566" s="41"/>
    </row>
    <row r="567">
      <c r="A567" s="41"/>
    </row>
    <row r="568">
      <c r="A568" s="41"/>
    </row>
    <row r="569">
      <c r="A569" s="41"/>
    </row>
    <row r="570">
      <c r="A570" s="41"/>
    </row>
    <row r="571">
      <c r="A571" s="41"/>
    </row>
    <row r="572">
      <c r="A572" s="41"/>
    </row>
    <row r="573">
      <c r="A573" s="41"/>
    </row>
    <row r="574">
      <c r="A574" s="41"/>
    </row>
    <row r="575">
      <c r="A575" s="41"/>
    </row>
    <row r="576">
      <c r="A576" s="41"/>
    </row>
    <row r="577">
      <c r="A577" s="41"/>
    </row>
    <row r="578">
      <c r="A578" s="41"/>
    </row>
    <row r="579">
      <c r="A579" s="41"/>
    </row>
    <row r="580">
      <c r="A580" s="41"/>
    </row>
    <row r="581">
      <c r="A581" s="41"/>
    </row>
    <row r="582">
      <c r="A582" s="41"/>
    </row>
    <row r="583">
      <c r="A583" s="41"/>
    </row>
    <row r="584">
      <c r="A584" s="41"/>
    </row>
    <row r="585">
      <c r="A585" s="41"/>
    </row>
    <row r="586">
      <c r="A586" s="41"/>
    </row>
    <row r="587">
      <c r="A587" s="41"/>
    </row>
    <row r="588">
      <c r="A588" s="41"/>
    </row>
    <row r="589">
      <c r="A589" s="41"/>
    </row>
    <row r="590">
      <c r="A590" s="41"/>
    </row>
    <row r="591">
      <c r="A591" s="41"/>
    </row>
    <row r="592">
      <c r="A592" s="41"/>
    </row>
    <row r="593">
      <c r="A593" s="41"/>
    </row>
    <row r="594">
      <c r="A594" s="41"/>
    </row>
    <row r="595">
      <c r="A595" s="41"/>
    </row>
    <row r="596">
      <c r="A596" s="41"/>
    </row>
    <row r="597">
      <c r="A597" s="41"/>
    </row>
    <row r="598">
      <c r="A598" s="41"/>
    </row>
    <row r="599">
      <c r="A599" s="41"/>
    </row>
    <row r="600">
      <c r="A600" s="41"/>
    </row>
    <row r="601">
      <c r="A601" s="41"/>
    </row>
    <row r="602">
      <c r="A602" s="41"/>
    </row>
    <row r="603">
      <c r="A603" s="41"/>
    </row>
    <row r="604">
      <c r="A604" s="41"/>
    </row>
    <row r="605">
      <c r="A605" s="41"/>
    </row>
    <row r="606">
      <c r="A606" s="41"/>
    </row>
    <row r="607">
      <c r="A607" s="41"/>
    </row>
    <row r="608">
      <c r="A608" s="41"/>
    </row>
    <row r="609">
      <c r="A609" s="41"/>
    </row>
    <row r="610">
      <c r="A610" s="41"/>
    </row>
    <row r="611">
      <c r="A611" s="41"/>
    </row>
    <row r="612">
      <c r="A612" s="41"/>
    </row>
    <row r="613">
      <c r="A613" s="41"/>
    </row>
    <row r="614">
      <c r="A614" s="41"/>
    </row>
    <row r="615">
      <c r="A615" s="41"/>
    </row>
    <row r="616">
      <c r="A616" s="41"/>
    </row>
    <row r="617">
      <c r="A617" s="41"/>
    </row>
    <row r="618">
      <c r="A618" s="41"/>
    </row>
    <row r="619">
      <c r="A619" s="41"/>
    </row>
    <row r="620">
      <c r="A620" s="41"/>
    </row>
    <row r="621">
      <c r="A621" s="41"/>
    </row>
    <row r="622">
      <c r="A622" s="41"/>
    </row>
    <row r="623">
      <c r="A623" s="41"/>
    </row>
    <row r="624">
      <c r="A624" s="41"/>
    </row>
    <row r="625">
      <c r="A625" s="41"/>
    </row>
    <row r="626">
      <c r="A626" s="41"/>
    </row>
    <row r="627">
      <c r="A627" s="41"/>
    </row>
    <row r="628">
      <c r="A628" s="41"/>
    </row>
    <row r="629">
      <c r="A629" s="41"/>
    </row>
    <row r="630">
      <c r="A630" s="41"/>
    </row>
    <row r="631">
      <c r="A631" s="41"/>
    </row>
    <row r="632">
      <c r="A632" s="41"/>
    </row>
    <row r="633">
      <c r="A633" s="41"/>
    </row>
    <row r="634">
      <c r="A634" s="41"/>
    </row>
    <row r="635">
      <c r="A635" s="41"/>
    </row>
    <row r="636">
      <c r="A636" s="41"/>
    </row>
    <row r="637">
      <c r="A637" s="41"/>
    </row>
    <row r="638">
      <c r="A638" s="41"/>
    </row>
    <row r="639">
      <c r="A639" s="41"/>
    </row>
    <row r="640">
      <c r="A640" s="41"/>
    </row>
    <row r="641">
      <c r="A641" s="41"/>
    </row>
    <row r="642">
      <c r="A642" s="41"/>
    </row>
    <row r="643">
      <c r="A643" s="41"/>
    </row>
    <row r="644">
      <c r="A644" s="41"/>
    </row>
    <row r="645">
      <c r="A645" s="41"/>
    </row>
    <row r="646">
      <c r="A646" s="41"/>
    </row>
    <row r="647">
      <c r="A647" s="41"/>
    </row>
    <row r="648">
      <c r="A648" s="41"/>
    </row>
    <row r="649">
      <c r="A649" s="41"/>
    </row>
    <row r="650">
      <c r="A650" s="41"/>
    </row>
    <row r="651">
      <c r="A651" s="41"/>
    </row>
    <row r="652">
      <c r="A652" s="41"/>
    </row>
    <row r="653">
      <c r="A653" s="41"/>
    </row>
    <row r="654">
      <c r="A654" s="41"/>
    </row>
    <row r="655">
      <c r="A655" s="41"/>
    </row>
    <row r="656">
      <c r="A656" s="41"/>
    </row>
    <row r="657">
      <c r="A657" s="41"/>
    </row>
    <row r="658">
      <c r="A658" s="41"/>
    </row>
    <row r="659">
      <c r="A659" s="41"/>
    </row>
    <row r="660">
      <c r="A660" s="41"/>
    </row>
    <row r="661">
      <c r="A661" s="41"/>
    </row>
    <row r="662">
      <c r="A662" s="41"/>
    </row>
    <row r="663">
      <c r="A663" s="41"/>
    </row>
    <row r="664">
      <c r="A664" s="41"/>
    </row>
    <row r="665">
      <c r="A665" s="41"/>
    </row>
    <row r="666">
      <c r="A666" s="41"/>
    </row>
    <row r="667">
      <c r="A667" s="41"/>
    </row>
    <row r="668">
      <c r="A668" s="41"/>
    </row>
    <row r="669">
      <c r="A669" s="41"/>
    </row>
    <row r="670">
      <c r="A670" s="41"/>
    </row>
    <row r="671">
      <c r="A671" s="41"/>
    </row>
    <row r="672">
      <c r="A672" s="41"/>
    </row>
    <row r="673">
      <c r="A673" s="41"/>
    </row>
    <row r="674">
      <c r="A674" s="41"/>
    </row>
    <row r="675">
      <c r="A675" s="41"/>
    </row>
    <row r="676">
      <c r="A676" s="41"/>
    </row>
    <row r="677">
      <c r="A677" s="41"/>
    </row>
    <row r="678">
      <c r="A678" s="41"/>
    </row>
    <row r="679">
      <c r="A679" s="41"/>
    </row>
    <row r="680">
      <c r="A680" s="41"/>
    </row>
    <row r="681">
      <c r="A681" s="41"/>
    </row>
    <row r="682">
      <c r="A682" s="41"/>
    </row>
    <row r="683">
      <c r="A683" s="41"/>
    </row>
    <row r="684">
      <c r="A684" s="41"/>
    </row>
    <row r="685">
      <c r="A685" s="41"/>
    </row>
    <row r="686">
      <c r="A686" s="41"/>
    </row>
    <row r="687">
      <c r="A687" s="41"/>
    </row>
    <row r="688">
      <c r="A688" s="41"/>
    </row>
    <row r="689">
      <c r="A689" s="41"/>
    </row>
    <row r="690">
      <c r="A690" s="41"/>
    </row>
    <row r="691">
      <c r="A691" s="41"/>
    </row>
    <row r="692">
      <c r="A692" s="41"/>
    </row>
    <row r="693">
      <c r="A693" s="41"/>
    </row>
    <row r="694">
      <c r="A694" s="41"/>
    </row>
    <row r="695">
      <c r="A695" s="41"/>
    </row>
    <row r="696">
      <c r="A696" s="41"/>
    </row>
    <row r="697">
      <c r="A697" s="41"/>
    </row>
    <row r="698">
      <c r="A698" s="41"/>
    </row>
    <row r="699">
      <c r="A699" s="41"/>
    </row>
    <row r="700">
      <c r="A700" s="41"/>
    </row>
    <row r="701">
      <c r="A701" s="41"/>
    </row>
    <row r="702">
      <c r="A702" s="41"/>
    </row>
    <row r="703">
      <c r="A703" s="41"/>
    </row>
    <row r="704">
      <c r="A704" s="41"/>
    </row>
    <row r="705">
      <c r="A705" s="41"/>
    </row>
    <row r="706">
      <c r="A706" s="41"/>
    </row>
    <row r="707">
      <c r="A707" s="41"/>
    </row>
    <row r="708">
      <c r="A708" s="41"/>
    </row>
    <row r="709">
      <c r="A709" s="41"/>
    </row>
    <row r="710">
      <c r="A710" s="41"/>
    </row>
    <row r="711">
      <c r="A711" s="41"/>
    </row>
    <row r="712">
      <c r="A712" s="41"/>
    </row>
    <row r="713">
      <c r="A713" s="41"/>
    </row>
    <row r="714">
      <c r="A714" s="41"/>
    </row>
    <row r="715">
      <c r="A715" s="41"/>
    </row>
    <row r="716">
      <c r="A716" s="41"/>
    </row>
    <row r="717">
      <c r="A717" s="41"/>
    </row>
    <row r="718">
      <c r="A718" s="41"/>
    </row>
    <row r="719">
      <c r="A719" s="41"/>
    </row>
    <row r="720">
      <c r="A720" s="41"/>
    </row>
    <row r="721">
      <c r="A721" s="41"/>
    </row>
    <row r="722">
      <c r="A722" s="41"/>
    </row>
    <row r="723">
      <c r="A723" s="41"/>
    </row>
    <row r="724">
      <c r="A724" s="41"/>
    </row>
    <row r="725">
      <c r="A725" s="41"/>
    </row>
    <row r="726">
      <c r="A726" s="41"/>
    </row>
    <row r="727">
      <c r="A727" s="41"/>
    </row>
    <row r="728">
      <c r="A728" s="41"/>
    </row>
    <row r="729">
      <c r="A729" s="41"/>
    </row>
    <row r="730">
      <c r="A730" s="41"/>
    </row>
    <row r="731">
      <c r="A731" s="41"/>
    </row>
    <row r="732">
      <c r="A732" s="41"/>
    </row>
    <row r="733">
      <c r="A733" s="41"/>
    </row>
    <row r="734">
      <c r="A734" s="41"/>
    </row>
    <row r="735">
      <c r="A735" s="41"/>
    </row>
    <row r="736">
      <c r="A736" s="41"/>
    </row>
    <row r="737">
      <c r="A737" s="41"/>
    </row>
    <row r="738">
      <c r="A738" s="41"/>
    </row>
    <row r="739">
      <c r="A739" s="41"/>
    </row>
    <row r="740">
      <c r="A740" s="41"/>
    </row>
    <row r="741">
      <c r="A741" s="41"/>
    </row>
    <row r="742">
      <c r="A742" s="41"/>
    </row>
    <row r="743">
      <c r="A743" s="41"/>
    </row>
    <row r="744">
      <c r="A744" s="41"/>
    </row>
    <row r="745">
      <c r="A745" s="41"/>
    </row>
    <row r="746">
      <c r="A746" s="41"/>
    </row>
    <row r="747">
      <c r="A747" s="41"/>
    </row>
    <row r="748">
      <c r="A748" s="41"/>
    </row>
    <row r="749">
      <c r="A749" s="41"/>
    </row>
    <row r="750">
      <c r="A750" s="41"/>
    </row>
    <row r="751">
      <c r="A751" s="41"/>
    </row>
    <row r="752">
      <c r="A752" s="41"/>
    </row>
    <row r="753">
      <c r="A753" s="41"/>
    </row>
    <row r="754">
      <c r="A754" s="41"/>
    </row>
    <row r="755">
      <c r="A755" s="41"/>
    </row>
    <row r="756">
      <c r="A756" s="41"/>
    </row>
    <row r="757">
      <c r="A757" s="41"/>
    </row>
    <row r="758">
      <c r="A758" s="41"/>
    </row>
    <row r="759">
      <c r="A759" s="41"/>
    </row>
    <row r="760">
      <c r="A760" s="41"/>
    </row>
    <row r="761">
      <c r="A761" s="41"/>
    </row>
    <row r="762">
      <c r="A762" s="41"/>
    </row>
    <row r="763">
      <c r="A763" s="41"/>
    </row>
    <row r="764">
      <c r="A764" s="41"/>
    </row>
    <row r="765">
      <c r="A765" s="41"/>
    </row>
    <row r="766">
      <c r="A766" s="41"/>
    </row>
    <row r="767">
      <c r="A767" s="41"/>
    </row>
    <row r="768">
      <c r="A768" s="41"/>
    </row>
    <row r="769">
      <c r="A769" s="41"/>
    </row>
    <row r="770">
      <c r="A770" s="41"/>
    </row>
    <row r="771">
      <c r="A771" s="41"/>
    </row>
    <row r="772">
      <c r="A772" s="41"/>
    </row>
    <row r="773">
      <c r="A773" s="41"/>
    </row>
    <row r="774">
      <c r="A774" s="41"/>
    </row>
    <row r="775">
      <c r="A775" s="41"/>
    </row>
    <row r="776">
      <c r="A776" s="41"/>
    </row>
    <row r="777">
      <c r="A777" s="41"/>
    </row>
    <row r="778">
      <c r="A778" s="41"/>
    </row>
    <row r="779">
      <c r="A779" s="41"/>
    </row>
    <row r="780">
      <c r="A780" s="41"/>
    </row>
    <row r="781">
      <c r="A781" s="41"/>
    </row>
    <row r="782">
      <c r="A782" s="41"/>
    </row>
    <row r="783">
      <c r="A783" s="41"/>
    </row>
    <row r="784">
      <c r="A784" s="41"/>
    </row>
    <row r="785">
      <c r="A785" s="41"/>
    </row>
    <row r="786">
      <c r="A786" s="41"/>
    </row>
    <row r="787">
      <c r="A787" s="41"/>
    </row>
    <row r="788">
      <c r="A788" s="41"/>
    </row>
    <row r="789">
      <c r="A789" s="41"/>
    </row>
    <row r="790">
      <c r="A790" s="41"/>
    </row>
    <row r="791">
      <c r="A791" s="41"/>
    </row>
    <row r="792">
      <c r="A792" s="41"/>
    </row>
    <row r="793">
      <c r="A793" s="41"/>
    </row>
    <row r="794">
      <c r="A794" s="41"/>
    </row>
    <row r="795">
      <c r="A795" s="41"/>
    </row>
    <row r="796">
      <c r="A796" s="41"/>
    </row>
    <row r="797">
      <c r="A797" s="41"/>
    </row>
    <row r="798">
      <c r="A798" s="41"/>
    </row>
    <row r="799">
      <c r="A799" s="41"/>
    </row>
    <row r="800">
      <c r="A800" s="41"/>
    </row>
    <row r="801">
      <c r="A801" s="41"/>
    </row>
    <row r="802">
      <c r="A802" s="41"/>
    </row>
    <row r="803">
      <c r="A803" s="41"/>
    </row>
    <row r="804">
      <c r="A804" s="41"/>
    </row>
    <row r="805">
      <c r="A805" s="41"/>
    </row>
    <row r="806">
      <c r="A806" s="41"/>
    </row>
    <row r="807">
      <c r="A807" s="41"/>
    </row>
    <row r="808">
      <c r="A808" s="41"/>
    </row>
    <row r="809">
      <c r="A809" s="41"/>
    </row>
    <row r="810">
      <c r="A810" s="41"/>
    </row>
    <row r="811">
      <c r="A811" s="41"/>
    </row>
    <row r="812">
      <c r="A812" s="41"/>
    </row>
    <row r="813">
      <c r="A813" s="41"/>
    </row>
    <row r="814">
      <c r="A814" s="41"/>
    </row>
    <row r="815">
      <c r="A815" s="41"/>
    </row>
    <row r="816">
      <c r="A816" s="41"/>
    </row>
    <row r="817">
      <c r="A817" s="41"/>
    </row>
    <row r="818">
      <c r="A818" s="41"/>
    </row>
    <row r="819">
      <c r="A819" s="41"/>
    </row>
    <row r="820">
      <c r="A820" s="41"/>
    </row>
    <row r="821">
      <c r="A821" s="41"/>
    </row>
    <row r="822">
      <c r="A822" s="41"/>
    </row>
    <row r="823">
      <c r="A823" s="41"/>
    </row>
    <row r="824">
      <c r="A824" s="41"/>
    </row>
    <row r="825">
      <c r="A825" s="41"/>
    </row>
    <row r="826">
      <c r="A826" s="41"/>
    </row>
    <row r="827">
      <c r="A827" s="41"/>
    </row>
    <row r="828">
      <c r="A828" s="41"/>
    </row>
    <row r="829">
      <c r="A829" s="41"/>
    </row>
    <row r="830">
      <c r="A830" s="41"/>
    </row>
    <row r="831">
      <c r="A831" s="41"/>
    </row>
    <row r="832">
      <c r="A832" s="41"/>
    </row>
    <row r="833">
      <c r="A833" s="41"/>
    </row>
    <row r="834">
      <c r="A834" s="41"/>
    </row>
    <row r="835">
      <c r="A835" s="41"/>
    </row>
    <row r="836">
      <c r="A836" s="41"/>
    </row>
    <row r="837">
      <c r="A837" s="41"/>
    </row>
    <row r="838">
      <c r="A838" s="41"/>
    </row>
    <row r="839">
      <c r="A839" s="41"/>
    </row>
    <row r="840">
      <c r="A840" s="41"/>
    </row>
    <row r="841">
      <c r="A841" s="41"/>
    </row>
    <row r="842">
      <c r="A842" s="41"/>
    </row>
    <row r="843">
      <c r="A843" s="41"/>
    </row>
    <row r="844">
      <c r="A844" s="41"/>
    </row>
    <row r="845">
      <c r="A845" s="41"/>
    </row>
    <row r="846">
      <c r="A846" s="41"/>
    </row>
    <row r="847">
      <c r="A847" s="41"/>
    </row>
    <row r="848">
      <c r="A848" s="41"/>
    </row>
    <row r="849">
      <c r="A849" s="41"/>
    </row>
    <row r="850">
      <c r="A850" s="41"/>
    </row>
    <row r="851">
      <c r="A851" s="41"/>
    </row>
    <row r="852">
      <c r="A852" s="41"/>
    </row>
    <row r="853">
      <c r="A853" s="41"/>
    </row>
    <row r="854">
      <c r="A854" s="41"/>
    </row>
    <row r="855">
      <c r="A855" s="41"/>
    </row>
    <row r="856">
      <c r="A856" s="41"/>
    </row>
    <row r="857">
      <c r="A857" s="41"/>
    </row>
    <row r="858">
      <c r="A858" s="41"/>
    </row>
    <row r="859">
      <c r="A859" s="41"/>
    </row>
    <row r="860">
      <c r="A860" s="41"/>
    </row>
    <row r="861">
      <c r="A861" s="41"/>
    </row>
    <row r="862">
      <c r="A862" s="41"/>
    </row>
    <row r="863">
      <c r="A863" s="41"/>
    </row>
    <row r="864">
      <c r="A864" s="41"/>
    </row>
    <row r="865">
      <c r="A865" s="41"/>
    </row>
    <row r="866">
      <c r="A866" s="41"/>
    </row>
    <row r="867">
      <c r="A867" s="41"/>
    </row>
    <row r="868">
      <c r="A868" s="41"/>
    </row>
    <row r="869">
      <c r="A869" s="41"/>
    </row>
    <row r="870">
      <c r="A870" s="41"/>
    </row>
    <row r="871">
      <c r="A871" s="41"/>
    </row>
    <row r="872">
      <c r="A872" s="41"/>
    </row>
    <row r="873">
      <c r="A873" s="41"/>
    </row>
    <row r="874">
      <c r="A874" s="41"/>
    </row>
    <row r="875">
      <c r="A875" s="41"/>
    </row>
    <row r="876">
      <c r="A876" s="41"/>
    </row>
    <row r="877">
      <c r="A877" s="41"/>
    </row>
    <row r="878">
      <c r="A878" s="41"/>
    </row>
    <row r="879">
      <c r="A879" s="41"/>
    </row>
    <row r="880">
      <c r="A880" s="41"/>
    </row>
    <row r="881">
      <c r="A881" s="41"/>
    </row>
    <row r="882">
      <c r="A882" s="41"/>
    </row>
  </sheetData>
  <mergeCells count="176">
    <mergeCell ref="B57:C57"/>
    <mergeCell ref="B63:C63"/>
    <mergeCell ref="H63:I63"/>
    <mergeCell ref="J63:K63"/>
    <mergeCell ref="L63:M63"/>
    <mergeCell ref="N63:O63"/>
    <mergeCell ref="D57:E57"/>
    <mergeCell ref="F57:G57"/>
    <mergeCell ref="H57:I57"/>
    <mergeCell ref="J57:K57"/>
    <mergeCell ref="L57:M57"/>
    <mergeCell ref="N57:O57"/>
    <mergeCell ref="B62:O62"/>
    <mergeCell ref="B69:C69"/>
    <mergeCell ref="B75:C75"/>
    <mergeCell ref="H75:I75"/>
    <mergeCell ref="J75:K75"/>
    <mergeCell ref="L75:M75"/>
    <mergeCell ref="N75:O75"/>
    <mergeCell ref="D69:E69"/>
    <mergeCell ref="F69:G69"/>
    <mergeCell ref="H69:I69"/>
    <mergeCell ref="J69:K69"/>
    <mergeCell ref="L69:M69"/>
    <mergeCell ref="N69:O69"/>
    <mergeCell ref="B74:O74"/>
    <mergeCell ref="L76:M76"/>
    <mergeCell ref="N76:O76"/>
    <mergeCell ref="D75:E75"/>
    <mergeCell ref="F75:G75"/>
    <mergeCell ref="B76:C76"/>
    <mergeCell ref="D76:E76"/>
    <mergeCell ref="F76:G76"/>
    <mergeCell ref="H76:I76"/>
    <mergeCell ref="J76:K76"/>
    <mergeCell ref="B81:C81"/>
    <mergeCell ref="B87:C87"/>
    <mergeCell ref="H87:I87"/>
    <mergeCell ref="J87:K87"/>
    <mergeCell ref="L87:M87"/>
    <mergeCell ref="N87:O87"/>
    <mergeCell ref="D81:E81"/>
    <mergeCell ref="F81:G81"/>
    <mergeCell ref="H81:I81"/>
    <mergeCell ref="J81:K81"/>
    <mergeCell ref="L81:M81"/>
    <mergeCell ref="N81:O81"/>
    <mergeCell ref="B86:O86"/>
    <mergeCell ref="L88:M88"/>
    <mergeCell ref="N88:O88"/>
    <mergeCell ref="D87:E87"/>
    <mergeCell ref="F87:G87"/>
    <mergeCell ref="B88:C88"/>
    <mergeCell ref="D88:E88"/>
    <mergeCell ref="F88:G88"/>
    <mergeCell ref="H88:I88"/>
    <mergeCell ref="J88:K88"/>
    <mergeCell ref="B2:O2"/>
    <mergeCell ref="D3:E3"/>
    <mergeCell ref="F3:G3"/>
    <mergeCell ref="H3:I3"/>
    <mergeCell ref="J3:K3"/>
    <mergeCell ref="L3:M3"/>
    <mergeCell ref="N3:O3"/>
    <mergeCell ref="B3:C3"/>
    <mergeCell ref="D4:E4"/>
    <mergeCell ref="F4:G4"/>
    <mergeCell ref="H4:I4"/>
    <mergeCell ref="J4:K4"/>
    <mergeCell ref="L4:M4"/>
    <mergeCell ref="N4:O4"/>
    <mergeCell ref="B4:C4"/>
    <mergeCell ref="B9:C9"/>
    <mergeCell ref="D9:E9"/>
    <mergeCell ref="F9:G9"/>
    <mergeCell ref="H9:I9"/>
    <mergeCell ref="J9:K9"/>
    <mergeCell ref="L9:M9"/>
    <mergeCell ref="L15:M15"/>
    <mergeCell ref="N15:O15"/>
    <mergeCell ref="N9:O9"/>
    <mergeCell ref="B14:O14"/>
    <mergeCell ref="B15:C15"/>
    <mergeCell ref="D15:E15"/>
    <mergeCell ref="F15:G15"/>
    <mergeCell ref="H15:I15"/>
    <mergeCell ref="J15:K15"/>
    <mergeCell ref="B16:C16"/>
    <mergeCell ref="D16:E16"/>
    <mergeCell ref="F16:G16"/>
    <mergeCell ref="H16:I16"/>
    <mergeCell ref="J16:K16"/>
    <mergeCell ref="L16:M16"/>
    <mergeCell ref="N16:O16"/>
    <mergeCell ref="B93:C93"/>
    <mergeCell ref="D93:E93"/>
    <mergeCell ref="F93:G93"/>
    <mergeCell ref="H93:I93"/>
    <mergeCell ref="J93:K93"/>
    <mergeCell ref="L93:M93"/>
    <mergeCell ref="N93:O93"/>
    <mergeCell ref="B21:C21"/>
    <mergeCell ref="B27:C27"/>
    <mergeCell ref="H27:I27"/>
    <mergeCell ref="J27:K27"/>
    <mergeCell ref="L27:M27"/>
    <mergeCell ref="N27:O27"/>
    <mergeCell ref="D21:E21"/>
    <mergeCell ref="F21:G21"/>
    <mergeCell ref="H21:I21"/>
    <mergeCell ref="J21:K21"/>
    <mergeCell ref="L21:M21"/>
    <mergeCell ref="N21:O21"/>
    <mergeCell ref="B26:O26"/>
    <mergeCell ref="L28:M28"/>
    <mergeCell ref="N28:O28"/>
    <mergeCell ref="D27:E27"/>
    <mergeCell ref="F27:G27"/>
    <mergeCell ref="B28:C28"/>
    <mergeCell ref="D28:E28"/>
    <mergeCell ref="F28:G28"/>
    <mergeCell ref="H28:I28"/>
    <mergeCell ref="J28:K28"/>
    <mergeCell ref="B33:C33"/>
    <mergeCell ref="B39:C39"/>
    <mergeCell ref="H39:I39"/>
    <mergeCell ref="J39:K39"/>
    <mergeCell ref="L39:M39"/>
    <mergeCell ref="N39:O39"/>
    <mergeCell ref="D33:E33"/>
    <mergeCell ref="F33:G33"/>
    <mergeCell ref="H33:I33"/>
    <mergeCell ref="J33:K33"/>
    <mergeCell ref="L33:M33"/>
    <mergeCell ref="N33:O33"/>
    <mergeCell ref="B38:O38"/>
    <mergeCell ref="L40:M40"/>
    <mergeCell ref="N40:O40"/>
    <mergeCell ref="D39:E39"/>
    <mergeCell ref="F39:G39"/>
    <mergeCell ref="B40:C40"/>
    <mergeCell ref="D40:E40"/>
    <mergeCell ref="F40:G40"/>
    <mergeCell ref="H40:I40"/>
    <mergeCell ref="J40:K40"/>
    <mergeCell ref="B45:C45"/>
    <mergeCell ref="B51:C51"/>
    <mergeCell ref="H51:I51"/>
    <mergeCell ref="J51:K51"/>
    <mergeCell ref="L51:M51"/>
    <mergeCell ref="N51:O51"/>
    <mergeCell ref="D45:E45"/>
    <mergeCell ref="F45:G45"/>
    <mergeCell ref="H45:I45"/>
    <mergeCell ref="J45:K45"/>
    <mergeCell ref="L45:M45"/>
    <mergeCell ref="N45:O45"/>
    <mergeCell ref="B50:O50"/>
    <mergeCell ref="L52:M52"/>
    <mergeCell ref="N52:O52"/>
    <mergeCell ref="D51:E51"/>
    <mergeCell ref="F51:G51"/>
    <mergeCell ref="B52:C52"/>
    <mergeCell ref="D52:E52"/>
    <mergeCell ref="F52:G52"/>
    <mergeCell ref="H52:I52"/>
    <mergeCell ref="J52:K52"/>
    <mergeCell ref="L64:M64"/>
    <mergeCell ref="N64:O64"/>
    <mergeCell ref="D63:E63"/>
    <mergeCell ref="F63:G63"/>
    <mergeCell ref="B64:C64"/>
    <mergeCell ref="D64:E64"/>
    <mergeCell ref="F64:G64"/>
    <mergeCell ref="H64:I64"/>
    <mergeCell ref="J64:K64"/>
  </mergeCells>
  <conditionalFormatting sqref="B2:O96">
    <cfRule type="cellIs" dxfId="0" priority="1" operator="greaterThan">
      <formula>0</formula>
    </cfRule>
  </conditionalFormatting>
  <printOptions gridLines="1" horizontalCentered="1"/>
  <pageMargins bottom="0.75" footer="0.0" header="0.0" left="0.7" right="0.7" top="0.75"/>
  <pageSetup fitToHeight="0" cellComments="atEnd" orientation="portrait" pageOrder="overThenDow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
    <col customWidth="1" min="2" max="6" width="9.38"/>
  </cols>
  <sheetData>
    <row r="1">
      <c r="A1" s="1"/>
      <c r="B1" s="2" t="s">
        <v>0</v>
      </c>
      <c r="C1" s="3"/>
      <c r="D1" s="3"/>
      <c r="E1" s="3"/>
      <c r="F1" s="3"/>
    </row>
    <row r="2">
      <c r="A2" s="1"/>
      <c r="B2" s="4" t="s">
        <v>1</v>
      </c>
      <c r="C2" s="5"/>
      <c r="D2" s="5"/>
      <c r="E2" s="5"/>
      <c r="F2" s="5"/>
    </row>
    <row r="3">
      <c r="A3" s="1"/>
      <c r="B3" s="6" t="s">
        <v>2</v>
      </c>
      <c r="C3" s="3"/>
      <c r="D3" s="3"/>
      <c r="E3" s="7" t="s">
        <v>4</v>
      </c>
      <c r="F3" s="3"/>
    </row>
    <row r="4">
      <c r="A4" s="1"/>
      <c r="B4" s="9" t="s">
        <v>5</v>
      </c>
    </row>
    <row r="5">
      <c r="A5" s="1"/>
    </row>
    <row r="6">
      <c r="A6" s="1"/>
      <c r="B6" s="9" t="s">
        <v>6</v>
      </c>
    </row>
    <row r="7">
      <c r="A7" s="1"/>
    </row>
    <row r="8">
      <c r="A8" s="1"/>
    </row>
    <row r="9">
      <c r="A9" s="1"/>
      <c r="B9" s="9" t="s">
        <v>8</v>
      </c>
    </row>
    <row r="10">
      <c r="A10" s="1"/>
    </row>
    <row r="11">
      <c r="A11" s="1"/>
    </row>
    <row r="12">
      <c r="A12" s="1"/>
      <c r="B12" s="3"/>
      <c r="C12" s="3"/>
      <c r="D12" s="3"/>
      <c r="E12" s="3"/>
      <c r="F12" s="3"/>
    </row>
    <row r="13">
      <c r="A13" s="1"/>
      <c r="B13" s="6" t="s">
        <v>9</v>
      </c>
      <c r="C13" s="3"/>
      <c r="D13" s="3"/>
      <c r="E13" s="3"/>
      <c r="F13" s="3"/>
    </row>
    <row r="14">
      <c r="A14" s="1"/>
      <c r="B14" s="9" t="s">
        <v>11</v>
      </c>
    </row>
    <row r="15">
      <c r="A15" s="1"/>
      <c r="B15" s="9" t="s">
        <v>12</v>
      </c>
    </row>
    <row r="16">
      <c r="A16" s="1"/>
      <c r="B16" s="9" t="s">
        <v>13</v>
      </c>
    </row>
    <row r="17">
      <c r="A17" s="1"/>
    </row>
    <row r="18">
      <c r="A18" s="1"/>
      <c r="B18" s="9" t="s">
        <v>14</v>
      </c>
    </row>
    <row r="19">
      <c r="A19" s="1"/>
    </row>
    <row r="20">
      <c r="A20" s="1"/>
    </row>
    <row r="21">
      <c r="A21" s="1"/>
      <c r="B21" s="3"/>
      <c r="C21" s="3"/>
      <c r="D21" s="3"/>
      <c r="E21" s="3"/>
      <c r="F21" s="3"/>
    </row>
    <row r="22">
      <c r="A22" s="1"/>
      <c r="B22" s="6" t="s">
        <v>16</v>
      </c>
      <c r="C22" s="3"/>
      <c r="D22" s="3"/>
      <c r="E22" s="3"/>
      <c r="F22" s="3"/>
    </row>
    <row r="23">
      <c r="A23" s="1"/>
      <c r="B23" s="9" t="s">
        <v>17</v>
      </c>
    </row>
    <row r="24">
      <c r="A24" s="1"/>
    </row>
    <row r="25">
      <c r="A25" s="1"/>
      <c r="B25" s="18" t="s">
        <v>18</v>
      </c>
      <c r="C25" s="3"/>
      <c r="D25" s="18" t="s">
        <v>21</v>
      </c>
      <c r="E25" s="3"/>
      <c r="F25" s="3"/>
    </row>
    <row r="26">
      <c r="A26" s="1"/>
      <c r="B26" s="7" t="s">
        <v>22</v>
      </c>
      <c r="C26" s="3"/>
      <c r="D26" s="7" t="s">
        <v>23</v>
      </c>
      <c r="E26" s="3"/>
      <c r="F26" s="3"/>
    </row>
    <row r="27">
      <c r="A27" s="1"/>
      <c r="B27" s="7" t="s">
        <v>25</v>
      </c>
      <c r="C27" s="3"/>
      <c r="D27" s="7" t="s">
        <v>27</v>
      </c>
      <c r="E27" s="3"/>
      <c r="F27" s="3"/>
    </row>
    <row r="28">
      <c r="A28" s="1"/>
      <c r="B28" s="7" t="s">
        <v>28</v>
      </c>
      <c r="C28" s="3"/>
      <c r="D28" s="7" t="s">
        <v>29</v>
      </c>
      <c r="E28" s="3"/>
      <c r="F28" s="3"/>
    </row>
    <row r="29">
      <c r="A29" s="1"/>
      <c r="B29" s="7" t="s">
        <v>30</v>
      </c>
      <c r="C29" s="3"/>
      <c r="D29" s="3"/>
      <c r="E29" s="3"/>
      <c r="F29" s="3"/>
    </row>
    <row r="30">
      <c r="A30" s="1"/>
      <c r="B30" s="9" t="s">
        <v>33</v>
      </c>
    </row>
    <row r="31">
      <c r="A31" s="1"/>
    </row>
    <row r="32">
      <c r="A32" s="1"/>
      <c r="B32" s="9" t="s">
        <v>35</v>
      </c>
    </row>
    <row r="33">
      <c r="A33" s="1"/>
    </row>
    <row r="34">
      <c r="A34" s="1"/>
      <c r="B34" s="9" t="s">
        <v>39</v>
      </c>
    </row>
    <row r="35">
      <c r="A35" s="1"/>
    </row>
    <row r="36">
      <c r="A36" s="1"/>
    </row>
    <row r="37">
      <c r="A37" s="1"/>
    </row>
    <row r="38">
      <c r="A38" s="1"/>
      <c r="B38" s="29" t="s">
        <v>40</v>
      </c>
    </row>
    <row r="39">
      <c r="A39" s="1"/>
      <c r="B39" s="29" t="s">
        <v>43</v>
      </c>
    </row>
    <row r="40">
      <c r="A40" s="1"/>
      <c r="B40" s="6" t="s">
        <v>44</v>
      </c>
      <c r="C40" s="3"/>
      <c r="D40" s="3"/>
      <c r="E40" s="3"/>
      <c r="F40" s="3"/>
    </row>
    <row r="41">
      <c r="A41" s="1"/>
      <c r="B41" s="9" t="s">
        <v>45</v>
      </c>
    </row>
    <row r="42">
      <c r="A42" s="1"/>
    </row>
    <row r="43">
      <c r="A43" s="1"/>
      <c r="B43" s="9" t="s">
        <v>46</v>
      </c>
    </row>
    <row r="44">
      <c r="A44" s="1"/>
      <c r="B44" s="9" t="s">
        <v>47</v>
      </c>
    </row>
    <row r="45">
      <c r="A45" s="1"/>
      <c r="B45" s="9" t="s">
        <v>49</v>
      </c>
    </row>
    <row r="46">
      <c r="A46" s="1"/>
      <c r="B46" s="9"/>
      <c r="C46" s="9"/>
      <c r="D46" s="9"/>
      <c r="E46" s="9"/>
      <c r="F46" s="9"/>
    </row>
    <row r="47">
      <c r="A47" s="1"/>
      <c r="B47" s="32" t="s">
        <v>50</v>
      </c>
      <c r="F47" s="9"/>
    </row>
    <row r="48">
      <c r="A48" s="1"/>
      <c r="B48" s="9" t="s">
        <v>55</v>
      </c>
    </row>
    <row r="49">
      <c r="A49" s="1"/>
    </row>
    <row r="50">
      <c r="A50" s="1"/>
    </row>
    <row r="51">
      <c r="A51" s="1"/>
    </row>
    <row r="52">
      <c r="A52" s="1"/>
      <c r="B52" s="9" t="s">
        <v>57</v>
      </c>
    </row>
    <row r="53">
      <c r="A53" s="1"/>
    </row>
    <row r="54">
      <c r="A54" s="1"/>
      <c r="B54" s="9" t="s">
        <v>58</v>
      </c>
    </row>
    <row r="55">
      <c r="A55" s="1"/>
    </row>
    <row r="56">
      <c r="A56" s="1"/>
    </row>
    <row r="57">
      <c r="A57" s="1"/>
      <c r="B57" s="9" t="s">
        <v>59</v>
      </c>
    </row>
    <row r="58">
      <c r="A58" s="1"/>
    </row>
    <row r="59">
      <c r="A59" s="1"/>
    </row>
    <row r="60">
      <c r="A60" s="1"/>
    </row>
    <row r="61">
      <c r="A61" s="1"/>
      <c r="B61" s="9" t="s">
        <v>60</v>
      </c>
    </row>
    <row r="62">
      <c r="A62" s="1"/>
    </row>
    <row r="63">
      <c r="A63" s="1"/>
    </row>
    <row r="64">
      <c r="A64" s="1"/>
    </row>
    <row r="65">
      <c r="A65" s="1"/>
      <c r="B65" s="9" t="s">
        <v>63</v>
      </c>
    </row>
    <row r="66">
      <c r="A66" s="1"/>
    </row>
    <row r="67">
      <c r="A67" s="1"/>
    </row>
    <row r="68">
      <c r="A68" s="1"/>
    </row>
    <row r="69">
      <c r="A69" s="1"/>
      <c r="B69" s="9" t="s">
        <v>66</v>
      </c>
    </row>
    <row r="70">
      <c r="A70" s="1"/>
    </row>
    <row r="71">
      <c r="A71" s="1"/>
      <c r="B71" s="9" t="s">
        <v>69</v>
      </c>
    </row>
    <row r="72">
      <c r="A72" s="1"/>
      <c r="B72" s="9" t="s">
        <v>71</v>
      </c>
    </row>
    <row r="73">
      <c r="A73" s="1"/>
      <c r="B73" s="38" t="s">
        <v>72</v>
      </c>
      <c r="E73" s="39"/>
      <c r="F73" s="39"/>
    </row>
    <row r="74">
      <c r="A74" s="1"/>
      <c r="B74" s="39" t="s">
        <v>77</v>
      </c>
    </row>
    <row r="75">
      <c r="A75" s="1"/>
    </row>
    <row r="76">
      <c r="A76" s="1"/>
    </row>
    <row r="77">
      <c r="A77" s="1"/>
    </row>
    <row r="78">
      <c r="A78" s="1"/>
    </row>
    <row r="79">
      <c r="A79" s="1"/>
    </row>
    <row r="80">
      <c r="A80" s="1"/>
      <c r="B80" s="39" t="s">
        <v>81</v>
      </c>
    </row>
    <row r="81">
      <c r="A81" s="1"/>
    </row>
    <row r="82">
      <c r="A82" s="1"/>
      <c r="B82" s="39" t="s">
        <v>83</v>
      </c>
    </row>
    <row r="83">
      <c r="A83" s="1"/>
      <c r="B83" s="39" t="s">
        <v>85</v>
      </c>
    </row>
    <row r="84">
      <c r="A84" s="1"/>
      <c r="B84" s="40" t="s">
        <v>87</v>
      </c>
      <c r="C84" s="5"/>
      <c r="D84" s="5"/>
      <c r="E84" s="5"/>
      <c r="F84" s="5"/>
    </row>
    <row r="85">
      <c r="A85" s="1"/>
      <c r="B85" s="39" t="s">
        <v>89</v>
      </c>
    </row>
    <row r="86">
      <c r="A86" s="1"/>
    </row>
    <row r="87">
      <c r="A87" s="1"/>
    </row>
    <row r="88">
      <c r="A88" s="1"/>
    </row>
    <row r="89">
      <c r="A89" s="1"/>
    </row>
    <row r="90">
      <c r="A90" s="1"/>
    </row>
    <row r="91">
      <c r="A91" s="1"/>
      <c r="B91" s="7" t="s">
        <v>91</v>
      </c>
    </row>
    <row r="92">
      <c r="A92" s="1"/>
      <c r="B92" s="9" t="s">
        <v>92</v>
      </c>
    </row>
    <row r="93">
      <c r="A93" s="1"/>
    </row>
    <row r="94">
      <c r="A94" s="1"/>
    </row>
    <row r="95">
      <c r="A95" s="1"/>
    </row>
    <row r="96">
      <c r="A96" s="1"/>
    </row>
    <row r="97">
      <c r="A97" s="1"/>
      <c r="B97" s="47" t="s">
        <v>94</v>
      </c>
    </row>
    <row r="98">
      <c r="A98" s="1"/>
    </row>
    <row r="99">
      <c r="A99" s="1"/>
    </row>
    <row r="100">
      <c r="A100" s="1"/>
      <c r="B100" s="7" t="s">
        <v>96</v>
      </c>
      <c r="C100" s="3"/>
      <c r="D100" s="3"/>
      <c r="E100" s="3"/>
      <c r="F100" s="3"/>
    </row>
    <row r="101">
      <c r="A101" s="1"/>
      <c r="B101" s="9" t="s">
        <v>97</v>
      </c>
    </row>
    <row r="102">
      <c r="A102" s="1"/>
    </row>
    <row r="103">
      <c r="A103" s="1"/>
      <c r="B103" s="9" t="s">
        <v>99</v>
      </c>
    </row>
    <row r="104">
      <c r="A104" s="49"/>
    </row>
    <row r="105">
      <c r="A105" s="49"/>
      <c r="B105" s="47" t="s">
        <v>101</v>
      </c>
      <c r="D105" s="9"/>
      <c r="E105" s="9"/>
      <c r="F105" s="9"/>
    </row>
    <row r="106">
      <c r="A106" s="49"/>
      <c r="B106" s="9" t="s">
        <v>107</v>
      </c>
    </row>
    <row r="107">
      <c r="A107" s="1"/>
    </row>
    <row r="108">
      <c r="A108" s="1"/>
    </row>
    <row r="109">
      <c r="A109" s="3"/>
    </row>
    <row r="110">
      <c r="A110" s="49"/>
      <c r="B110" s="9" t="s">
        <v>108</v>
      </c>
    </row>
    <row r="111">
      <c r="A111" s="49"/>
    </row>
    <row r="112">
      <c r="A112" s="49"/>
      <c r="B112" s="9" t="s">
        <v>109</v>
      </c>
    </row>
    <row r="113">
      <c r="A113" s="1"/>
    </row>
    <row r="114">
      <c r="A114" s="1"/>
      <c r="B114" s="9" t="s">
        <v>111</v>
      </c>
    </row>
    <row r="115">
      <c r="A115" s="1"/>
    </row>
    <row r="116">
      <c r="A116" s="1"/>
      <c r="B116" s="9" t="s">
        <v>114</v>
      </c>
    </row>
    <row r="117">
      <c r="A117" s="1"/>
    </row>
    <row r="118">
      <c r="A118" s="1"/>
      <c r="B118" s="3"/>
      <c r="C118" s="3"/>
      <c r="D118" s="3"/>
      <c r="E118" s="3"/>
      <c r="F118" s="3"/>
    </row>
    <row r="119">
      <c r="A119" s="1"/>
      <c r="B119" s="3"/>
      <c r="C119" s="3"/>
      <c r="D119" s="3"/>
      <c r="E119" s="3"/>
      <c r="F119" s="3"/>
    </row>
    <row r="120">
      <c r="A120" s="1"/>
      <c r="B120" s="3"/>
      <c r="C120" s="3"/>
      <c r="D120" s="3"/>
      <c r="E120" s="3"/>
      <c r="F120" s="3"/>
    </row>
    <row r="121">
      <c r="A121" s="1"/>
      <c r="B121" s="3"/>
      <c r="C121" s="3"/>
      <c r="D121" s="3"/>
      <c r="E121" s="3"/>
      <c r="F121" s="3"/>
    </row>
    <row r="122">
      <c r="A122" s="1"/>
      <c r="B122" s="3"/>
      <c r="C122" s="3"/>
      <c r="D122" s="3"/>
      <c r="E122" s="3"/>
      <c r="F122" s="3"/>
    </row>
    <row r="123">
      <c r="A123" s="1"/>
      <c r="B123" s="3"/>
      <c r="C123" s="3"/>
      <c r="D123" s="3"/>
      <c r="E123" s="3"/>
      <c r="F123" s="3"/>
    </row>
    <row r="124">
      <c r="A124" s="1"/>
      <c r="B124" s="3"/>
      <c r="C124" s="3"/>
      <c r="D124" s="3"/>
      <c r="E124" s="3"/>
      <c r="F124" s="3"/>
    </row>
    <row r="125">
      <c r="A125" s="1"/>
      <c r="B125" s="3"/>
      <c r="C125" s="3"/>
      <c r="D125" s="3"/>
      <c r="E125" s="3"/>
      <c r="F125" s="3"/>
    </row>
    <row r="126">
      <c r="A126" s="1"/>
      <c r="B126" s="3"/>
      <c r="C126" s="3"/>
      <c r="D126" s="3"/>
      <c r="E126" s="3"/>
      <c r="F126" s="3"/>
    </row>
    <row r="127">
      <c r="A127" s="1"/>
      <c r="B127" s="3"/>
      <c r="C127" s="3"/>
      <c r="D127" s="3"/>
      <c r="E127" s="3"/>
      <c r="F127" s="3"/>
    </row>
    <row r="128">
      <c r="A128" s="1"/>
      <c r="B128" s="3"/>
      <c r="C128" s="3"/>
      <c r="D128" s="3"/>
      <c r="E128" s="3"/>
      <c r="F128" s="3"/>
    </row>
    <row r="129">
      <c r="A129" s="1"/>
      <c r="B129" s="3"/>
      <c r="C129" s="3"/>
      <c r="D129" s="3"/>
      <c r="E129" s="3"/>
      <c r="F129" s="3"/>
    </row>
    <row r="130">
      <c r="A130" s="1"/>
      <c r="B130" s="3"/>
      <c r="C130" s="3"/>
      <c r="D130" s="3"/>
      <c r="E130" s="3"/>
      <c r="F130" s="3"/>
    </row>
    <row r="131">
      <c r="A131" s="1"/>
      <c r="B131" s="3"/>
      <c r="C131" s="3"/>
      <c r="D131" s="3"/>
      <c r="E131" s="3"/>
      <c r="F131" s="3"/>
    </row>
    <row r="132">
      <c r="A132" s="1"/>
      <c r="B132" s="3"/>
      <c r="C132" s="3"/>
      <c r="D132" s="3"/>
      <c r="E132" s="3"/>
      <c r="F132" s="3"/>
    </row>
    <row r="133">
      <c r="A133" s="1"/>
      <c r="B133" s="3"/>
      <c r="C133" s="3"/>
      <c r="D133" s="3"/>
      <c r="E133" s="3"/>
      <c r="F133" s="3"/>
    </row>
    <row r="134">
      <c r="A134" s="1"/>
      <c r="B134" s="3"/>
      <c r="C134" s="3"/>
      <c r="D134" s="3"/>
      <c r="E134" s="3"/>
      <c r="F134" s="3"/>
    </row>
    <row r="135">
      <c r="A135" s="1"/>
      <c r="B135" s="3"/>
      <c r="C135" s="3"/>
      <c r="D135" s="3"/>
      <c r="E135" s="3"/>
      <c r="F135" s="3"/>
    </row>
    <row r="136">
      <c r="A136" s="1"/>
      <c r="B136" s="3"/>
      <c r="C136" s="3"/>
      <c r="D136" s="3"/>
      <c r="E136" s="3"/>
      <c r="F136" s="3"/>
    </row>
    <row r="137">
      <c r="A137" s="1"/>
      <c r="B137" s="3"/>
      <c r="C137" s="3"/>
      <c r="D137" s="3"/>
      <c r="E137" s="3"/>
      <c r="F137" s="3"/>
    </row>
    <row r="138">
      <c r="A138" s="1"/>
      <c r="B138" s="3"/>
      <c r="C138" s="3"/>
      <c r="D138" s="3"/>
      <c r="E138" s="3"/>
      <c r="F138" s="3"/>
    </row>
    <row r="139">
      <c r="A139" s="1"/>
      <c r="B139" s="3"/>
      <c r="C139" s="3"/>
      <c r="D139" s="3"/>
      <c r="E139" s="3"/>
      <c r="F139" s="3"/>
    </row>
    <row r="140">
      <c r="A140" s="1"/>
      <c r="B140" s="3"/>
      <c r="C140" s="3"/>
      <c r="D140" s="3"/>
      <c r="E140" s="3"/>
      <c r="F140" s="3"/>
    </row>
    <row r="141">
      <c r="A141" s="1"/>
      <c r="B141" s="3"/>
      <c r="C141" s="3"/>
      <c r="D141" s="3"/>
      <c r="E141" s="3"/>
      <c r="F141" s="3"/>
    </row>
    <row r="142">
      <c r="A142" s="1"/>
      <c r="B142" s="3"/>
      <c r="C142" s="3"/>
      <c r="D142" s="3"/>
      <c r="E142" s="3"/>
      <c r="F142" s="3"/>
    </row>
    <row r="143">
      <c r="A143" s="1"/>
      <c r="B143" s="3"/>
      <c r="C143" s="3"/>
      <c r="D143" s="3"/>
      <c r="E143" s="3"/>
      <c r="F143" s="3"/>
    </row>
    <row r="144">
      <c r="A144" s="1"/>
      <c r="B144" s="3"/>
      <c r="C144" s="3"/>
      <c r="D144" s="3"/>
      <c r="E144" s="3"/>
      <c r="F144" s="3"/>
    </row>
    <row r="145">
      <c r="A145" s="1"/>
      <c r="B145" s="3"/>
      <c r="C145" s="3"/>
      <c r="D145" s="3"/>
      <c r="E145" s="3"/>
      <c r="F145" s="3"/>
    </row>
    <row r="146">
      <c r="A146" s="1"/>
      <c r="B146" s="3"/>
      <c r="C146" s="3"/>
      <c r="D146" s="3"/>
      <c r="E146" s="3"/>
      <c r="F146" s="3"/>
    </row>
    <row r="147">
      <c r="A147" s="1"/>
      <c r="B147" s="3"/>
      <c r="C147" s="3"/>
      <c r="D147" s="3"/>
      <c r="E147" s="3"/>
      <c r="F147" s="3"/>
    </row>
    <row r="148">
      <c r="A148" s="1"/>
      <c r="B148" s="3"/>
      <c r="C148" s="3"/>
      <c r="D148" s="3"/>
      <c r="E148" s="3"/>
      <c r="F148" s="3"/>
    </row>
    <row r="149">
      <c r="A149" s="1"/>
      <c r="B149" s="3"/>
      <c r="C149" s="3"/>
      <c r="D149" s="3"/>
      <c r="E149" s="3"/>
      <c r="F149" s="3"/>
    </row>
    <row r="150">
      <c r="A150" s="1"/>
      <c r="B150" s="3"/>
      <c r="C150" s="3"/>
      <c r="D150" s="3"/>
      <c r="E150" s="3"/>
      <c r="F150" s="3"/>
    </row>
    <row r="151">
      <c r="A151" s="1"/>
      <c r="B151" s="3"/>
      <c r="C151" s="3"/>
      <c r="D151" s="3"/>
      <c r="E151" s="3"/>
      <c r="F151" s="3"/>
    </row>
    <row r="152">
      <c r="A152" s="1"/>
      <c r="B152" s="3"/>
      <c r="C152" s="3"/>
      <c r="D152" s="3"/>
      <c r="E152" s="3"/>
      <c r="F152" s="3"/>
    </row>
    <row r="153">
      <c r="A153" s="1"/>
      <c r="B153" s="3"/>
      <c r="C153" s="3"/>
      <c r="D153" s="3"/>
      <c r="E153" s="3"/>
      <c r="F153" s="3"/>
    </row>
    <row r="154">
      <c r="A154" s="1"/>
      <c r="B154" s="3"/>
      <c r="C154" s="3"/>
      <c r="D154" s="3"/>
      <c r="E154" s="3"/>
      <c r="F154" s="3"/>
    </row>
    <row r="155">
      <c r="A155" s="1"/>
      <c r="B155" s="3"/>
      <c r="C155" s="3"/>
      <c r="D155" s="3"/>
      <c r="E155" s="3"/>
      <c r="F155" s="3"/>
    </row>
    <row r="156">
      <c r="A156" s="1"/>
      <c r="B156" s="3"/>
      <c r="C156" s="3"/>
      <c r="D156" s="3"/>
      <c r="E156" s="3"/>
      <c r="F156" s="3"/>
    </row>
    <row r="157">
      <c r="A157" s="1"/>
      <c r="B157" s="3"/>
      <c r="C157" s="3"/>
      <c r="D157" s="3"/>
      <c r="E157" s="3"/>
      <c r="F157" s="3"/>
    </row>
    <row r="158">
      <c r="A158" s="1"/>
      <c r="B158" s="3"/>
      <c r="C158" s="3"/>
      <c r="D158" s="3"/>
      <c r="E158" s="3"/>
      <c r="F158" s="3"/>
    </row>
    <row r="159">
      <c r="A159" s="1"/>
      <c r="B159" s="3"/>
      <c r="C159" s="3"/>
      <c r="D159" s="3"/>
      <c r="E159" s="3"/>
      <c r="F159" s="3"/>
    </row>
    <row r="160">
      <c r="A160" s="1"/>
      <c r="B160" s="3"/>
      <c r="C160" s="3"/>
      <c r="D160" s="3"/>
      <c r="E160" s="3"/>
      <c r="F160" s="3"/>
    </row>
    <row r="161">
      <c r="A161" s="1"/>
      <c r="B161" s="3"/>
      <c r="C161" s="3"/>
      <c r="D161" s="3"/>
      <c r="E161" s="3"/>
      <c r="F161" s="3"/>
    </row>
    <row r="162">
      <c r="A162" s="1"/>
      <c r="B162" s="3"/>
      <c r="C162" s="3"/>
      <c r="D162" s="3"/>
      <c r="E162" s="3"/>
      <c r="F162" s="3"/>
    </row>
    <row r="163">
      <c r="A163" s="1"/>
      <c r="B163" s="3"/>
      <c r="C163" s="3"/>
      <c r="D163" s="3"/>
      <c r="E163" s="3"/>
      <c r="F163" s="3"/>
    </row>
    <row r="164">
      <c r="A164" s="1"/>
      <c r="B164" s="3"/>
      <c r="C164" s="3"/>
      <c r="D164" s="3"/>
      <c r="E164" s="3"/>
      <c r="F164" s="3"/>
    </row>
    <row r="165">
      <c r="A165" s="1"/>
      <c r="B165" s="3"/>
      <c r="C165" s="3"/>
      <c r="D165" s="3"/>
      <c r="E165" s="3"/>
      <c r="F165" s="3"/>
    </row>
    <row r="166">
      <c r="A166" s="1"/>
      <c r="B166" s="3"/>
      <c r="C166" s="3"/>
      <c r="D166" s="3"/>
      <c r="E166" s="3"/>
      <c r="F166" s="3"/>
    </row>
    <row r="167">
      <c r="A167" s="1"/>
      <c r="B167" s="3"/>
      <c r="C167" s="3"/>
      <c r="D167" s="3"/>
      <c r="E167" s="3"/>
      <c r="F167" s="3"/>
    </row>
    <row r="168">
      <c r="A168" s="1"/>
      <c r="B168" s="3"/>
      <c r="C168" s="3"/>
      <c r="D168" s="3"/>
      <c r="E168" s="3"/>
      <c r="F168" s="3"/>
    </row>
    <row r="169">
      <c r="A169" s="1"/>
      <c r="B169" s="3"/>
      <c r="C169" s="3"/>
      <c r="D169" s="3"/>
      <c r="E169" s="3"/>
      <c r="F169" s="3"/>
    </row>
    <row r="170">
      <c r="A170" s="1"/>
      <c r="B170" s="3"/>
      <c r="C170" s="3"/>
      <c r="D170" s="3"/>
      <c r="E170" s="3"/>
      <c r="F170" s="3"/>
    </row>
    <row r="171">
      <c r="A171" s="1"/>
      <c r="B171" s="3"/>
      <c r="C171" s="3"/>
      <c r="D171" s="3"/>
      <c r="E171" s="3"/>
      <c r="F171" s="3"/>
    </row>
    <row r="172">
      <c r="A172" s="1"/>
      <c r="B172" s="3"/>
      <c r="C172" s="3"/>
      <c r="D172" s="3"/>
      <c r="E172" s="3"/>
      <c r="F172" s="3"/>
    </row>
    <row r="173">
      <c r="A173" s="1"/>
      <c r="B173" s="3"/>
      <c r="C173" s="3"/>
      <c r="D173" s="3"/>
      <c r="E173" s="3"/>
      <c r="F173" s="3"/>
    </row>
    <row r="174">
      <c r="A174" s="1"/>
      <c r="B174" s="3"/>
      <c r="C174" s="3"/>
      <c r="D174" s="3"/>
      <c r="E174" s="3"/>
      <c r="F174" s="3"/>
    </row>
    <row r="175">
      <c r="A175" s="1"/>
      <c r="B175" s="3"/>
      <c r="C175" s="3"/>
      <c r="D175" s="3"/>
      <c r="E175" s="3"/>
      <c r="F175" s="3"/>
    </row>
    <row r="176">
      <c r="A176" s="1"/>
      <c r="B176" s="3"/>
      <c r="C176" s="3"/>
      <c r="D176" s="3"/>
      <c r="E176" s="3"/>
      <c r="F176" s="3"/>
    </row>
    <row r="177">
      <c r="A177" s="1"/>
      <c r="B177" s="3"/>
      <c r="C177" s="3"/>
      <c r="D177" s="3"/>
      <c r="E177" s="3"/>
      <c r="F177" s="3"/>
    </row>
    <row r="178">
      <c r="A178" s="1"/>
      <c r="B178" s="3"/>
      <c r="C178" s="3"/>
      <c r="D178" s="3"/>
      <c r="E178" s="3"/>
      <c r="F178" s="3"/>
    </row>
    <row r="179">
      <c r="A179" s="1"/>
      <c r="B179" s="3"/>
      <c r="C179" s="3"/>
      <c r="D179" s="3"/>
      <c r="E179" s="3"/>
      <c r="F179" s="3"/>
    </row>
    <row r="180">
      <c r="A180" s="1"/>
      <c r="B180" s="3"/>
      <c r="C180" s="3"/>
      <c r="D180" s="3"/>
      <c r="E180" s="3"/>
      <c r="F180" s="3"/>
    </row>
    <row r="181">
      <c r="A181" s="1"/>
      <c r="B181" s="3"/>
      <c r="C181" s="3"/>
      <c r="D181" s="3"/>
      <c r="E181" s="3"/>
      <c r="F181" s="3"/>
    </row>
    <row r="182">
      <c r="A182" s="1"/>
      <c r="B182" s="3"/>
      <c r="C182" s="3"/>
      <c r="D182" s="3"/>
      <c r="E182" s="3"/>
      <c r="F182" s="3"/>
    </row>
    <row r="183">
      <c r="A183" s="1"/>
      <c r="B183" s="3"/>
      <c r="C183" s="3"/>
      <c r="D183" s="3"/>
      <c r="E183" s="3"/>
      <c r="F183" s="3"/>
    </row>
    <row r="184">
      <c r="A184" s="1"/>
      <c r="B184" s="3"/>
      <c r="C184" s="3"/>
      <c r="D184" s="3"/>
      <c r="E184" s="3"/>
      <c r="F184" s="3"/>
    </row>
    <row r="185">
      <c r="A185" s="1"/>
      <c r="B185" s="3"/>
      <c r="C185" s="3"/>
      <c r="D185" s="3"/>
      <c r="E185" s="3"/>
      <c r="F185" s="3"/>
    </row>
    <row r="186">
      <c r="A186" s="1"/>
      <c r="B186" s="3"/>
      <c r="C186" s="3"/>
      <c r="D186" s="3"/>
      <c r="E186" s="3"/>
      <c r="F186" s="3"/>
    </row>
    <row r="187">
      <c r="A187" s="1"/>
      <c r="B187" s="3"/>
      <c r="C187" s="3"/>
      <c r="D187" s="3"/>
      <c r="E187" s="3"/>
      <c r="F187" s="3"/>
    </row>
    <row r="188">
      <c r="A188" s="1"/>
      <c r="B188" s="3"/>
      <c r="C188" s="3"/>
      <c r="D188" s="3"/>
      <c r="E188" s="3"/>
      <c r="F188" s="3"/>
    </row>
    <row r="189">
      <c r="A189" s="1"/>
      <c r="B189" s="3"/>
      <c r="C189" s="3"/>
      <c r="D189" s="3"/>
      <c r="E189" s="3"/>
      <c r="F189" s="3"/>
    </row>
    <row r="190">
      <c r="A190" s="1"/>
      <c r="B190" s="3"/>
      <c r="C190" s="3"/>
      <c r="D190" s="3"/>
      <c r="E190" s="3"/>
      <c r="F190" s="3"/>
    </row>
    <row r="191">
      <c r="A191" s="1"/>
      <c r="B191" s="3"/>
      <c r="C191" s="3"/>
      <c r="D191" s="3"/>
      <c r="E191" s="3"/>
      <c r="F191" s="3"/>
    </row>
    <row r="192">
      <c r="A192" s="1"/>
      <c r="B192" s="3"/>
      <c r="C192" s="3"/>
      <c r="D192" s="3"/>
      <c r="E192" s="3"/>
      <c r="F192" s="3"/>
    </row>
    <row r="193">
      <c r="A193" s="1"/>
      <c r="B193" s="3"/>
      <c r="C193" s="3"/>
      <c r="D193" s="3"/>
      <c r="E193" s="3"/>
      <c r="F193" s="3"/>
    </row>
    <row r="194">
      <c r="A194" s="1"/>
      <c r="B194" s="3"/>
      <c r="C194" s="3"/>
      <c r="D194" s="3"/>
      <c r="E194" s="3"/>
      <c r="F194" s="3"/>
    </row>
    <row r="195">
      <c r="A195" s="1"/>
      <c r="B195" s="3"/>
      <c r="C195" s="3"/>
      <c r="D195" s="3"/>
      <c r="E195" s="3"/>
      <c r="F195" s="3"/>
    </row>
    <row r="196">
      <c r="A196" s="1"/>
      <c r="B196" s="3"/>
      <c r="C196" s="3"/>
      <c r="D196" s="3"/>
      <c r="E196" s="3"/>
      <c r="F196" s="3"/>
    </row>
    <row r="197">
      <c r="A197" s="1"/>
      <c r="B197" s="3"/>
      <c r="C197" s="3"/>
      <c r="D197" s="3"/>
      <c r="E197" s="3"/>
      <c r="F197" s="3"/>
    </row>
    <row r="198">
      <c r="A198" s="1"/>
      <c r="B198" s="3"/>
      <c r="C198" s="3"/>
      <c r="D198" s="3"/>
      <c r="E198" s="3"/>
      <c r="F198" s="3"/>
    </row>
    <row r="199">
      <c r="A199" s="1"/>
      <c r="B199" s="3"/>
      <c r="C199" s="3"/>
      <c r="D199" s="3"/>
      <c r="E199" s="3"/>
      <c r="F199" s="3"/>
    </row>
    <row r="200">
      <c r="A200" s="1"/>
      <c r="B200" s="3"/>
      <c r="C200" s="3"/>
      <c r="D200" s="3"/>
      <c r="E200" s="3"/>
      <c r="F200" s="3"/>
    </row>
    <row r="201">
      <c r="A201" s="1"/>
      <c r="B201" s="3"/>
      <c r="C201" s="3"/>
      <c r="D201" s="3"/>
      <c r="E201" s="3"/>
      <c r="F201" s="3"/>
    </row>
    <row r="202">
      <c r="A202" s="1"/>
      <c r="B202" s="3"/>
      <c r="C202" s="3"/>
      <c r="D202" s="3"/>
      <c r="E202" s="3"/>
      <c r="F202" s="3"/>
    </row>
    <row r="203">
      <c r="A203" s="1"/>
      <c r="B203" s="3"/>
      <c r="C203" s="3"/>
      <c r="D203" s="3"/>
      <c r="E203" s="3"/>
      <c r="F203" s="3"/>
    </row>
    <row r="204">
      <c r="A204" s="1"/>
      <c r="B204" s="3"/>
      <c r="C204" s="3"/>
      <c r="D204" s="3"/>
      <c r="E204" s="3"/>
      <c r="F204" s="3"/>
    </row>
    <row r="205">
      <c r="A205" s="1"/>
      <c r="B205" s="3"/>
      <c r="C205" s="3"/>
      <c r="D205" s="3"/>
      <c r="E205" s="3"/>
      <c r="F205" s="3"/>
    </row>
    <row r="206">
      <c r="A206" s="1"/>
      <c r="B206" s="3"/>
      <c r="C206" s="3"/>
      <c r="D206" s="3"/>
      <c r="E206" s="3"/>
      <c r="F206" s="3"/>
    </row>
    <row r="207">
      <c r="A207" s="1"/>
      <c r="B207" s="3"/>
      <c r="C207" s="3"/>
      <c r="D207" s="3"/>
      <c r="E207" s="3"/>
      <c r="F207" s="3"/>
    </row>
    <row r="208">
      <c r="A208" s="1"/>
      <c r="B208" s="3"/>
      <c r="C208" s="3"/>
      <c r="D208" s="3"/>
      <c r="E208" s="3"/>
      <c r="F208" s="3"/>
    </row>
    <row r="209">
      <c r="A209" s="1"/>
      <c r="B209" s="3"/>
      <c r="C209" s="3"/>
      <c r="D209" s="3"/>
      <c r="E209" s="3"/>
      <c r="F209" s="3"/>
    </row>
    <row r="210">
      <c r="A210" s="1"/>
      <c r="B210" s="3"/>
      <c r="C210" s="3"/>
      <c r="D210" s="3"/>
      <c r="E210" s="3"/>
      <c r="F210" s="3"/>
    </row>
    <row r="211">
      <c r="A211" s="1"/>
      <c r="B211" s="3"/>
      <c r="C211" s="3"/>
      <c r="D211" s="3"/>
      <c r="E211" s="3"/>
      <c r="F211" s="3"/>
    </row>
    <row r="212">
      <c r="A212" s="1"/>
      <c r="B212" s="3"/>
      <c r="C212" s="3"/>
      <c r="D212" s="3"/>
      <c r="E212" s="3"/>
      <c r="F212" s="3"/>
    </row>
    <row r="213">
      <c r="A213" s="1"/>
      <c r="B213" s="3"/>
      <c r="C213" s="3"/>
      <c r="D213" s="3"/>
      <c r="E213" s="3"/>
      <c r="F213" s="3"/>
    </row>
    <row r="214">
      <c r="A214" s="1"/>
      <c r="B214" s="3"/>
      <c r="C214" s="3"/>
      <c r="D214" s="3"/>
      <c r="E214" s="3"/>
      <c r="F214" s="3"/>
    </row>
    <row r="215">
      <c r="A215" s="1"/>
      <c r="B215" s="3"/>
      <c r="C215" s="3"/>
      <c r="D215" s="3"/>
      <c r="E215" s="3"/>
      <c r="F215" s="3"/>
    </row>
    <row r="216">
      <c r="A216" s="1"/>
      <c r="B216" s="3"/>
      <c r="C216" s="3"/>
      <c r="D216" s="3"/>
      <c r="E216" s="3"/>
      <c r="F216" s="3"/>
    </row>
    <row r="217">
      <c r="A217" s="1"/>
      <c r="B217" s="3"/>
      <c r="C217" s="3"/>
      <c r="D217" s="3"/>
      <c r="E217" s="3"/>
      <c r="F217" s="3"/>
    </row>
    <row r="218">
      <c r="A218" s="1"/>
      <c r="B218" s="3"/>
      <c r="C218" s="3"/>
      <c r="D218" s="3"/>
      <c r="E218" s="3"/>
      <c r="F218" s="3"/>
    </row>
    <row r="219">
      <c r="A219" s="1"/>
      <c r="B219" s="3"/>
      <c r="C219" s="3"/>
      <c r="D219" s="3"/>
      <c r="E219" s="3"/>
      <c r="F219" s="3"/>
    </row>
    <row r="220">
      <c r="A220" s="1"/>
      <c r="B220" s="3"/>
      <c r="C220" s="3"/>
      <c r="D220" s="3"/>
      <c r="E220" s="3"/>
      <c r="F220" s="3"/>
    </row>
    <row r="221">
      <c r="A221" s="1"/>
      <c r="B221" s="3"/>
      <c r="C221" s="3"/>
      <c r="D221" s="3"/>
      <c r="E221" s="3"/>
      <c r="F221" s="3"/>
    </row>
    <row r="222">
      <c r="A222" s="1"/>
      <c r="B222" s="3"/>
      <c r="C222" s="3"/>
      <c r="D222" s="3"/>
      <c r="E222" s="3"/>
      <c r="F222" s="3"/>
    </row>
    <row r="223">
      <c r="A223" s="1"/>
      <c r="B223" s="3"/>
      <c r="C223" s="3"/>
      <c r="D223" s="3"/>
      <c r="E223" s="3"/>
      <c r="F223" s="3"/>
    </row>
    <row r="224">
      <c r="A224" s="1"/>
      <c r="B224" s="3"/>
      <c r="C224" s="3"/>
      <c r="D224" s="3"/>
      <c r="E224" s="3"/>
      <c r="F224" s="3"/>
    </row>
    <row r="225">
      <c r="A225" s="1"/>
      <c r="B225" s="3"/>
      <c r="C225" s="3"/>
      <c r="D225" s="3"/>
      <c r="E225" s="3"/>
      <c r="F225" s="3"/>
    </row>
    <row r="226">
      <c r="A226" s="1"/>
      <c r="B226" s="3"/>
      <c r="C226" s="3"/>
      <c r="D226" s="3"/>
      <c r="E226" s="3"/>
      <c r="F226" s="3"/>
    </row>
    <row r="227">
      <c r="A227" s="1"/>
      <c r="B227" s="3"/>
      <c r="C227" s="3"/>
      <c r="D227" s="3"/>
      <c r="E227" s="3"/>
      <c r="F227" s="3"/>
    </row>
    <row r="228">
      <c r="A228" s="1"/>
      <c r="B228" s="3"/>
      <c r="C228" s="3"/>
      <c r="D228" s="3"/>
      <c r="E228" s="3"/>
      <c r="F228" s="3"/>
    </row>
    <row r="229">
      <c r="A229" s="1"/>
      <c r="B229" s="3"/>
      <c r="C229" s="3"/>
      <c r="D229" s="3"/>
      <c r="E229" s="3"/>
      <c r="F229" s="3"/>
    </row>
    <row r="230">
      <c r="A230" s="1"/>
      <c r="B230" s="3"/>
      <c r="C230" s="3"/>
      <c r="D230" s="3"/>
      <c r="E230" s="3"/>
      <c r="F230" s="3"/>
    </row>
    <row r="231">
      <c r="A231" s="1"/>
      <c r="B231" s="3"/>
      <c r="C231" s="3"/>
      <c r="D231" s="3"/>
      <c r="E231" s="3"/>
      <c r="F231" s="3"/>
    </row>
    <row r="232">
      <c r="A232" s="1"/>
      <c r="B232" s="3"/>
      <c r="C232" s="3"/>
      <c r="D232" s="3"/>
      <c r="E232" s="3"/>
      <c r="F232" s="3"/>
    </row>
    <row r="233">
      <c r="A233" s="1"/>
      <c r="B233" s="3"/>
      <c r="C233" s="3"/>
      <c r="D233" s="3"/>
      <c r="E233" s="3"/>
      <c r="F233" s="3"/>
    </row>
    <row r="234">
      <c r="A234" s="1"/>
      <c r="B234" s="3"/>
      <c r="C234" s="3"/>
      <c r="D234" s="3"/>
      <c r="E234" s="3"/>
      <c r="F234" s="3"/>
    </row>
    <row r="235">
      <c r="A235" s="1"/>
      <c r="B235" s="3"/>
      <c r="C235" s="3"/>
      <c r="D235" s="3"/>
      <c r="E235" s="3"/>
      <c r="F235" s="3"/>
    </row>
    <row r="236">
      <c r="A236" s="1"/>
      <c r="B236" s="3"/>
      <c r="C236" s="3"/>
      <c r="D236" s="3"/>
      <c r="E236" s="3"/>
      <c r="F236" s="3"/>
    </row>
    <row r="237">
      <c r="A237" s="1"/>
      <c r="B237" s="3"/>
      <c r="C237" s="3"/>
      <c r="D237" s="3"/>
      <c r="E237" s="3"/>
      <c r="F237" s="3"/>
    </row>
    <row r="238">
      <c r="A238" s="1"/>
      <c r="B238" s="3"/>
      <c r="C238" s="3"/>
      <c r="D238" s="3"/>
      <c r="E238" s="3"/>
      <c r="F238" s="3"/>
    </row>
    <row r="239">
      <c r="A239" s="1"/>
      <c r="B239" s="3"/>
      <c r="C239" s="3"/>
      <c r="D239" s="3"/>
      <c r="E239" s="3"/>
      <c r="F239" s="3"/>
    </row>
    <row r="240">
      <c r="A240" s="1"/>
      <c r="B240" s="3"/>
      <c r="C240" s="3"/>
      <c r="D240" s="3"/>
      <c r="E240" s="3"/>
      <c r="F240" s="3"/>
    </row>
    <row r="241">
      <c r="A241" s="1"/>
      <c r="B241" s="3"/>
      <c r="C241" s="3"/>
      <c r="D241" s="3"/>
      <c r="E241" s="3"/>
      <c r="F241" s="3"/>
    </row>
    <row r="242">
      <c r="A242" s="1"/>
      <c r="B242" s="3"/>
      <c r="C242" s="3"/>
      <c r="D242" s="3"/>
      <c r="E242" s="3"/>
      <c r="F242" s="3"/>
    </row>
    <row r="243">
      <c r="A243" s="1"/>
      <c r="B243" s="3"/>
      <c r="C243" s="3"/>
      <c r="D243" s="3"/>
      <c r="E243" s="3"/>
      <c r="F243" s="3"/>
    </row>
    <row r="244">
      <c r="A244" s="1"/>
      <c r="B244" s="3"/>
      <c r="C244" s="3"/>
      <c r="D244" s="3"/>
      <c r="E244" s="3"/>
      <c r="F244" s="3"/>
    </row>
    <row r="245">
      <c r="A245" s="1"/>
      <c r="B245" s="3"/>
      <c r="C245" s="3"/>
      <c r="D245" s="3"/>
      <c r="E245" s="3"/>
      <c r="F245" s="3"/>
    </row>
    <row r="246">
      <c r="A246" s="1"/>
      <c r="B246" s="3"/>
      <c r="C246" s="3"/>
      <c r="D246" s="3"/>
      <c r="E246" s="3"/>
      <c r="F246" s="3"/>
    </row>
    <row r="247">
      <c r="A247" s="1"/>
      <c r="B247" s="3"/>
      <c r="C247" s="3"/>
      <c r="D247" s="3"/>
      <c r="E247" s="3"/>
      <c r="F247" s="3"/>
    </row>
    <row r="248">
      <c r="A248" s="1"/>
      <c r="B248" s="3"/>
      <c r="C248" s="3"/>
      <c r="D248" s="3"/>
      <c r="E248" s="3"/>
      <c r="F248" s="3"/>
    </row>
    <row r="249">
      <c r="A249" s="1"/>
      <c r="B249" s="3"/>
      <c r="C249" s="3"/>
      <c r="D249" s="3"/>
      <c r="E249" s="3"/>
      <c r="F249" s="3"/>
    </row>
    <row r="250">
      <c r="A250" s="1"/>
      <c r="B250" s="3"/>
      <c r="C250" s="3"/>
      <c r="D250" s="3"/>
      <c r="E250" s="3"/>
      <c r="F250" s="3"/>
    </row>
    <row r="251">
      <c r="A251" s="1"/>
      <c r="B251" s="3"/>
      <c r="C251" s="3"/>
      <c r="D251" s="3"/>
      <c r="E251" s="3"/>
      <c r="F251" s="3"/>
    </row>
    <row r="252">
      <c r="A252" s="1"/>
      <c r="B252" s="3"/>
      <c r="C252" s="3"/>
      <c r="D252" s="3"/>
      <c r="E252" s="3"/>
      <c r="F252" s="3"/>
    </row>
    <row r="253">
      <c r="A253" s="1"/>
      <c r="B253" s="3"/>
      <c r="C253" s="3"/>
      <c r="D253" s="3"/>
      <c r="E253" s="3"/>
      <c r="F253" s="3"/>
    </row>
    <row r="254">
      <c r="A254" s="1"/>
      <c r="B254" s="3"/>
      <c r="C254" s="3"/>
      <c r="D254" s="3"/>
      <c r="E254" s="3"/>
      <c r="F254" s="3"/>
    </row>
    <row r="255">
      <c r="A255" s="1"/>
      <c r="B255" s="3"/>
      <c r="C255" s="3"/>
      <c r="D255" s="3"/>
      <c r="E255" s="3"/>
      <c r="F255" s="3"/>
    </row>
    <row r="256">
      <c r="A256" s="1"/>
      <c r="B256" s="3"/>
      <c r="C256" s="3"/>
      <c r="D256" s="3"/>
      <c r="E256" s="3"/>
      <c r="F256" s="3"/>
    </row>
    <row r="257">
      <c r="A257" s="1"/>
      <c r="B257" s="3"/>
      <c r="C257" s="3"/>
      <c r="D257" s="3"/>
      <c r="E257" s="3"/>
      <c r="F257" s="3"/>
    </row>
    <row r="258">
      <c r="A258" s="1"/>
      <c r="B258" s="3"/>
      <c r="C258" s="3"/>
      <c r="D258" s="3"/>
      <c r="E258" s="3"/>
      <c r="F258" s="3"/>
    </row>
    <row r="259">
      <c r="A259" s="1"/>
      <c r="B259" s="3"/>
      <c r="C259" s="3"/>
      <c r="D259" s="3"/>
      <c r="E259" s="3"/>
      <c r="F259" s="3"/>
    </row>
    <row r="260">
      <c r="A260" s="1"/>
      <c r="B260" s="3"/>
      <c r="C260" s="3"/>
      <c r="D260" s="3"/>
      <c r="E260" s="3"/>
      <c r="F260" s="3"/>
    </row>
    <row r="261">
      <c r="A261" s="1"/>
      <c r="B261" s="3"/>
      <c r="C261" s="3"/>
      <c r="D261" s="3"/>
      <c r="E261" s="3"/>
      <c r="F261" s="3"/>
    </row>
    <row r="262">
      <c r="A262" s="1"/>
      <c r="B262" s="3"/>
      <c r="C262" s="3"/>
      <c r="D262" s="3"/>
      <c r="E262" s="3"/>
      <c r="F262" s="3"/>
    </row>
    <row r="263">
      <c r="A263" s="1"/>
      <c r="B263" s="3"/>
      <c r="C263" s="3"/>
      <c r="D263" s="3"/>
      <c r="E263" s="3"/>
      <c r="F263" s="3"/>
    </row>
    <row r="264">
      <c r="A264" s="1"/>
      <c r="B264" s="3"/>
      <c r="C264" s="3"/>
      <c r="D264" s="3"/>
      <c r="E264" s="3"/>
      <c r="F264" s="3"/>
    </row>
    <row r="265">
      <c r="A265" s="1"/>
      <c r="B265" s="3"/>
      <c r="C265" s="3"/>
      <c r="D265" s="3"/>
      <c r="E265" s="3"/>
      <c r="F265" s="3"/>
    </row>
    <row r="266">
      <c r="A266" s="1"/>
      <c r="B266" s="3"/>
      <c r="C266" s="3"/>
      <c r="D266" s="3"/>
      <c r="E266" s="3"/>
      <c r="F266" s="3"/>
    </row>
    <row r="267">
      <c r="A267" s="1"/>
      <c r="B267" s="3"/>
      <c r="C267" s="3"/>
      <c r="D267" s="3"/>
      <c r="E267" s="3"/>
      <c r="F267" s="3"/>
    </row>
    <row r="268">
      <c r="A268" s="1"/>
      <c r="B268" s="3"/>
      <c r="C268" s="3"/>
      <c r="D268" s="3"/>
      <c r="E268" s="3"/>
      <c r="F268" s="3"/>
    </row>
    <row r="269">
      <c r="A269" s="1"/>
      <c r="B269" s="3"/>
      <c r="C269" s="3"/>
      <c r="D269" s="3"/>
      <c r="E269" s="3"/>
      <c r="F269" s="3"/>
    </row>
    <row r="270">
      <c r="A270" s="1"/>
      <c r="B270" s="3"/>
      <c r="C270" s="3"/>
      <c r="D270" s="3"/>
      <c r="E270" s="3"/>
      <c r="F270" s="3"/>
    </row>
    <row r="271">
      <c r="A271" s="1"/>
      <c r="B271" s="3"/>
      <c r="C271" s="3"/>
      <c r="D271" s="3"/>
      <c r="E271" s="3"/>
      <c r="F271" s="3"/>
    </row>
    <row r="272">
      <c r="A272" s="1"/>
      <c r="B272" s="3"/>
      <c r="C272" s="3"/>
      <c r="D272" s="3"/>
      <c r="E272" s="3"/>
      <c r="F272" s="3"/>
    </row>
    <row r="273">
      <c r="A273" s="1"/>
      <c r="B273" s="3"/>
      <c r="C273" s="3"/>
      <c r="D273" s="3"/>
      <c r="E273" s="3"/>
      <c r="F273" s="3"/>
    </row>
    <row r="274">
      <c r="A274" s="1"/>
      <c r="B274" s="3"/>
      <c r="C274" s="3"/>
      <c r="D274" s="3"/>
      <c r="E274" s="3"/>
      <c r="F274" s="3"/>
    </row>
    <row r="275">
      <c r="A275" s="1"/>
      <c r="B275" s="3"/>
      <c r="C275" s="3"/>
      <c r="D275" s="3"/>
      <c r="E275" s="3"/>
      <c r="F275" s="3"/>
    </row>
    <row r="276">
      <c r="A276" s="1"/>
      <c r="B276" s="3"/>
      <c r="C276" s="3"/>
      <c r="D276" s="3"/>
      <c r="E276" s="3"/>
      <c r="F276" s="3"/>
    </row>
    <row r="277">
      <c r="A277" s="1"/>
      <c r="B277" s="3"/>
      <c r="C277" s="3"/>
      <c r="D277" s="3"/>
      <c r="E277" s="3"/>
      <c r="F277" s="3"/>
    </row>
    <row r="278">
      <c r="A278" s="1"/>
      <c r="B278" s="3"/>
      <c r="C278" s="3"/>
      <c r="D278" s="3"/>
      <c r="E278" s="3"/>
      <c r="F278" s="3"/>
    </row>
    <row r="279">
      <c r="A279" s="1"/>
      <c r="B279" s="3"/>
      <c r="C279" s="3"/>
      <c r="D279" s="3"/>
      <c r="E279" s="3"/>
      <c r="F279" s="3"/>
    </row>
    <row r="280">
      <c r="A280" s="1"/>
      <c r="B280" s="3"/>
      <c r="C280" s="3"/>
      <c r="D280" s="3"/>
      <c r="E280" s="3"/>
      <c r="F280" s="3"/>
    </row>
    <row r="281">
      <c r="A281" s="1"/>
      <c r="B281" s="3"/>
      <c r="C281" s="3"/>
      <c r="D281" s="3"/>
      <c r="E281" s="3"/>
      <c r="F281" s="3"/>
    </row>
    <row r="282">
      <c r="A282" s="1"/>
      <c r="B282" s="3"/>
      <c r="C282" s="3"/>
      <c r="D282" s="3"/>
      <c r="E282" s="3"/>
      <c r="F282" s="3"/>
    </row>
    <row r="283">
      <c r="A283" s="1"/>
      <c r="B283" s="3"/>
      <c r="C283" s="3"/>
      <c r="D283" s="3"/>
      <c r="E283" s="3"/>
      <c r="F283" s="3"/>
    </row>
    <row r="284">
      <c r="A284" s="1"/>
      <c r="B284" s="3"/>
      <c r="C284" s="3"/>
      <c r="D284" s="3"/>
      <c r="E284" s="3"/>
      <c r="F284" s="3"/>
    </row>
    <row r="285">
      <c r="A285" s="1"/>
      <c r="B285" s="3"/>
      <c r="C285" s="3"/>
      <c r="D285" s="3"/>
      <c r="E285" s="3"/>
      <c r="F285" s="3"/>
    </row>
    <row r="286">
      <c r="A286" s="1"/>
      <c r="B286" s="3"/>
      <c r="C286" s="3"/>
      <c r="D286" s="3"/>
      <c r="E286" s="3"/>
      <c r="F286" s="3"/>
    </row>
    <row r="287">
      <c r="A287" s="1"/>
      <c r="B287" s="3"/>
      <c r="C287" s="3"/>
      <c r="D287" s="3"/>
      <c r="E287" s="3"/>
      <c r="F287" s="3"/>
    </row>
    <row r="288">
      <c r="A288" s="1"/>
      <c r="B288" s="3"/>
      <c r="C288" s="3"/>
      <c r="D288" s="3"/>
      <c r="E288" s="3"/>
      <c r="F288" s="3"/>
    </row>
    <row r="289">
      <c r="A289" s="1"/>
      <c r="B289" s="3"/>
      <c r="C289" s="3"/>
      <c r="D289" s="3"/>
      <c r="E289" s="3"/>
      <c r="F289" s="3"/>
    </row>
    <row r="290">
      <c r="A290" s="1"/>
      <c r="B290" s="3"/>
      <c r="C290" s="3"/>
      <c r="D290" s="3"/>
      <c r="E290" s="3"/>
      <c r="F290" s="3"/>
    </row>
    <row r="291">
      <c r="A291" s="1"/>
      <c r="B291" s="3"/>
      <c r="C291" s="3"/>
      <c r="D291" s="3"/>
      <c r="E291" s="3"/>
      <c r="F291" s="3"/>
    </row>
    <row r="292">
      <c r="A292" s="1"/>
      <c r="B292" s="3"/>
      <c r="C292" s="3"/>
      <c r="D292" s="3"/>
      <c r="E292" s="3"/>
      <c r="F292" s="3"/>
    </row>
    <row r="293">
      <c r="A293" s="1"/>
      <c r="B293" s="3"/>
      <c r="C293" s="3"/>
      <c r="D293" s="3"/>
      <c r="E293" s="3"/>
      <c r="F293" s="3"/>
    </row>
    <row r="294">
      <c r="A294" s="1"/>
      <c r="B294" s="3"/>
      <c r="C294" s="3"/>
      <c r="D294" s="3"/>
      <c r="E294" s="3"/>
      <c r="F294" s="3"/>
    </row>
    <row r="295">
      <c r="A295" s="1"/>
      <c r="B295" s="3"/>
      <c r="C295" s="3"/>
      <c r="D295" s="3"/>
      <c r="E295" s="3"/>
      <c r="F295" s="3"/>
    </row>
    <row r="296">
      <c r="A296" s="1"/>
      <c r="B296" s="3"/>
      <c r="C296" s="3"/>
      <c r="D296" s="3"/>
      <c r="E296" s="3"/>
      <c r="F296" s="3"/>
    </row>
    <row r="297">
      <c r="A297" s="1"/>
      <c r="B297" s="3"/>
      <c r="C297" s="3"/>
      <c r="D297" s="3"/>
      <c r="E297" s="3"/>
      <c r="F297" s="3"/>
    </row>
    <row r="298">
      <c r="A298" s="1"/>
      <c r="B298" s="3"/>
      <c r="C298" s="3"/>
      <c r="D298" s="3"/>
      <c r="E298" s="3"/>
      <c r="F298" s="3"/>
    </row>
    <row r="299">
      <c r="A299" s="1"/>
      <c r="B299" s="3"/>
      <c r="C299" s="3"/>
      <c r="D299" s="3"/>
      <c r="E299" s="3"/>
      <c r="F299" s="3"/>
    </row>
    <row r="300">
      <c r="A300" s="1"/>
      <c r="B300" s="3"/>
      <c r="C300" s="3"/>
      <c r="D300" s="3"/>
      <c r="E300" s="3"/>
      <c r="F300" s="3"/>
    </row>
    <row r="301">
      <c r="A301" s="1"/>
      <c r="B301" s="3"/>
      <c r="C301" s="3"/>
      <c r="D301" s="3"/>
      <c r="E301" s="3"/>
      <c r="F301" s="3"/>
    </row>
    <row r="302">
      <c r="A302" s="1"/>
      <c r="B302" s="3"/>
      <c r="C302" s="3"/>
      <c r="D302" s="3"/>
      <c r="E302" s="3"/>
      <c r="F302" s="3"/>
    </row>
    <row r="303">
      <c r="A303" s="1"/>
      <c r="B303" s="3"/>
      <c r="C303" s="3"/>
      <c r="D303" s="3"/>
      <c r="E303" s="3"/>
      <c r="F303" s="3"/>
    </row>
    <row r="304">
      <c r="A304" s="1"/>
      <c r="B304" s="3"/>
      <c r="C304" s="3"/>
      <c r="D304" s="3"/>
      <c r="E304" s="3"/>
      <c r="F304" s="3"/>
    </row>
    <row r="305">
      <c r="A305" s="1"/>
      <c r="B305" s="3"/>
      <c r="C305" s="3"/>
      <c r="D305" s="3"/>
      <c r="E305" s="3"/>
      <c r="F305" s="3"/>
    </row>
    <row r="306">
      <c r="A306" s="1"/>
      <c r="B306" s="3"/>
      <c r="C306" s="3"/>
      <c r="D306" s="3"/>
      <c r="E306" s="3"/>
      <c r="F306" s="3"/>
    </row>
    <row r="307">
      <c r="A307" s="1"/>
      <c r="B307" s="3"/>
      <c r="C307" s="3"/>
      <c r="D307" s="3"/>
      <c r="E307" s="3"/>
      <c r="F307" s="3"/>
    </row>
    <row r="308">
      <c r="A308" s="1"/>
      <c r="B308" s="3"/>
      <c r="C308" s="3"/>
      <c r="D308" s="3"/>
      <c r="E308" s="3"/>
      <c r="F308" s="3"/>
    </row>
    <row r="309">
      <c r="A309" s="1"/>
      <c r="B309" s="3"/>
      <c r="C309" s="3"/>
      <c r="D309" s="3"/>
      <c r="E309" s="3"/>
      <c r="F309" s="3"/>
    </row>
    <row r="310">
      <c r="A310" s="1"/>
      <c r="B310" s="3"/>
      <c r="C310" s="3"/>
      <c r="D310" s="3"/>
      <c r="E310" s="3"/>
      <c r="F310" s="3"/>
    </row>
    <row r="311">
      <c r="A311" s="1"/>
      <c r="B311" s="3"/>
      <c r="C311" s="3"/>
      <c r="D311" s="3"/>
      <c r="E311" s="3"/>
      <c r="F311" s="3"/>
    </row>
    <row r="312">
      <c r="A312" s="1"/>
      <c r="B312" s="3"/>
      <c r="C312" s="3"/>
      <c r="D312" s="3"/>
      <c r="E312" s="3"/>
      <c r="F312" s="3"/>
    </row>
    <row r="313">
      <c r="A313" s="1"/>
      <c r="B313" s="3"/>
      <c r="C313" s="3"/>
      <c r="D313" s="3"/>
      <c r="E313" s="3"/>
      <c r="F313" s="3"/>
    </row>
    <row r="314">
      <c r="A314" s="1"/>
      <c r="B314" s="3"/>
      <c r="C314" s="3"/>
      <c r="D314" s="3"/>
      <c r="E314" s="3"/>
      <c r="F314" s="3"/>
    </row>
    <row r="315">
      <c r="A315" s="1"/>
      <c r="B315" s="3"/>
      <c r="C315" s="3"/>
      <c r="D315" s="3"/>
      <c r="E315" s="3"/>
      <c r="F315" s="3"/>
    </row>
    <row r="316">
      <c r="A316" s="1"/>
      <c r="B316" s="3"/>
      <c r="C316" s="3"/>
      <c r="D316" s="3"/>
      <c r="E316" s="3"/>
      <c r="F316" s="3"/>
    </row>
    <row r="317">
      <c r="A317" s="1"/>
      <c r="B317" s="3"/>
      <c r="C317" s="3"/>
      <c r="D317" s="3"/>
      <c r="E317" s="3"/>
      <c r="F317" s="3"/>
    </row>
    <row r="318">
      <c r="A318" s="1"/>
      <c r="B318" s="3"/>
      <c r="C318" s="3"/>
      <c r="D318" s="3"/>
      <c r="E318" s="3"/>
      <c r="F318" s="3"/>
    </row>
    <row r="319">
      <c r="A319" s="1"/>
      <c r="B319" s="3"/>
      <c r="C319" s="3"/>
      <c r="D319" s="3"/>
      <c r="E319" s="3"/>
      <c r="F319" s="3"/>
    </row>
    <row r="320">
      <c r="A320" s="1"/>
      <c r="B320" s="3"/>
      <c r="C320" s="3"/>
      <c r="D320" s="3"/>
      <c r="E320" s="3"/>
      <c r="F320" s="3"/>
    </row>
    <row r="321">
      <c r="A321" s="1"/>
      <c r="B321" s="3"/>
      <c r="C321" s="3"/>
      <c r="D321" s="3"/>
      <c r="E321" s="3"/>
      <c r="F321" s="3"/>
    </row>
    <row r="322">
      <c r="A322" s="1"/>
      <c r="B322" s="3"/>
      <c r="C322" s="3"/>
      <c r="D322" s="3"/>
      <c r="E322" s="3"/>
      <c r="F322" s="3"/>
    </row>
    <row r="323">
      <c r="A323" s="1"/>
      <c r="B323" s="3"/>
      <c r="C323" s="3"/>
      <c r="D323" s="3"/>
      <c r="E323" s="3"/>
      <c r="F323" s="3"/>
    </row>
    <row r="324">
      <c r="A324" s="1"/>
      <c r="B324" s="3"/>
      <c r="C324" s="3"/>
      <c r="D324" s="3"/>
      <c r="E324" s="3"/>
      <c r="F324" s="3"/>
    </row>
    <row r="325">
      <c r="A325" s="1"/>
      <c r="B325" s="3"/>
      <c r="C325" s="3"/>
      <c r="D325" s="3"/>
      <c r="E325" s="3"/>
      <c r="F325" s="3"/>
    </row>
    <row r="326">
      <c r="A326" s="1"/>
      <c r="B326" s="3"/>
      <c r="C326" s="3"/>
      <c r="D326" s="3"/>
      <c r="E326" s="3"/>
      <c r="F326" s="3"/>
    </row>
    <row r="327">
      <c r="A327" s="1"/>
      <c r="B327" s="3"/>
      <c r="C327" s="3"/>
      <c r="D327" s="3"/>
      <c r="E327" s="3"/>
      <c r="F327" s="3"/>
    </row>
    <row r="328">
      <c r="A328" s="1"/>
      <c r="B328" s="3"/>
      <c r="C328" s="3"/>
      <c r="D328" s="3"/>
      <c r="E328" s="3"/>
      <c r="F328" s="3"/>
    </row>
    <row r="329">
      <c r="A329" s="1"/>
      <c r="B329" s="3"/>
      <c r="C329" s="3"/>
      <c r="D329" s="3"/>
      <c r="E329" s="3"/>
      <c r="F329" s="3"/>
    </row>
    <row r="330">
      <c r="A330" s="1"/>
      <c r="B330" s="3"/>
      <c r="C330" s="3"/>
      <c r="D330" s="3"/>
      <c r="E330" s="3"/>
      <c r="F330" s="3"/>
    </row>
    <row r="331">
      <c r="A331" s="1"/>
      <c r="B331" s="3"/>
      <c r="C331" s="3"/>
      <c r="D331" s="3"/>
      <c r="E331" s="3"/>
      <c r="F331" s="3"/>
    </row>
    <row r="332">
      <c r="A332" s="1"/>
      <c r="B332" s="3"/>
      <c r="C332" s="3"/>
      <c r="D332" s="3"/>
      <c r="E332" s="3"/>
      <c r="F332" s="3"/>
    </row>
    <row r="333">
      <c r="A333" s="1"/>
      <c r="B333" s="3"/>
      <c r="C333" s="3"/>
      <c r="D333" s="3"/>
      <c r="E333" s="3"/>
      <c r="F333" s="3"/>
    </row>
    <row r="334">
      <c r="A334" s="1"/>
      <c r="B334" s="3"/>
      <c r="C334" s="3"/>
      <c r="D334" s="3"/>
      <c r="E334" s="3"/>
      <c r="F334" s="3"/>
    </row>
    <row r="335">
      <c r="A335" s="1"/>
      <c r="B335" s="3"/>
      <c r="C335" s="3"/>
      <c r="D335" s="3"/>
      <c r="E335" s="3"/>
      <c r="F335" s="3"/>
    </row>
    <row r="336">
      <c r="A336" s="1"/>
      <c r="B336" s="3"/>
      <c r="C336" s="3"/>
      <c r="D336" s="3"/>
      <c r="E336" s="3"/>
      <c r="F336" s="3"/>
    </row>
    <row r="337">
      <c r="A337" s="1"/>
      <c r="B337" s="3"/>
      <c r="C337" s="3"/>
      <c r="D337" s="3"/>
      <c r="E337" s="3"/>
      <c r="F337" s="3"/>
    </row>
    <row r="338">
      <c r="A338" s="1"/>
      <c r="B338" s="3"/>
      <c r="C338" s="3"/>
      <c r="D338" s="3"/>
      <c r="E338" s="3"/>
      <c r="F338" s="3"/>
    </row>
    <row r="339">
      <c r="A339" s="1"/>
      <c r="B339" s="3"/>
      <c r="C339" s="3"/>
      <c r="D339" s="3"/>
      <c r="E339" s="3"/>
      <c r="F339" s="3"/>
    </row>
    <row r="340">
      <c r="A340" s="1"/>
      <c r="B340" s="3"/>
      <c r="C340" s="3"/>
      <c r="D340" s="3"/>
      <c r="E340" s="3"/>
      <c r="F340" s="3"/>
    </row>
    <row r="341">
      <c r="A341" s="1"/>
      <c r="B341" s="3"/>
      <c r="C341" s="3"/>
      <c r="D341" s="3"/>
      <c r="E341" s="3"/>
      <c r="F341" s="3"/>
    </row>
    <row r="342">
      <c r="A342" s="1"/>
      <c r="B342" s="3"/>
      <c r="C342" s="3"/>
      <c r="D342" s="3"/>
      <c r="E342" s="3"/>
      <c r="F342" s="3"/>
    </row>
    <row r="343">
      <c r="A343" s="1"/>
      <c r="B343" s="3"/>
      <c r="C343" s="3"/>
      <c r="D343" s="3"/>
      <c r="E343" s="3"/>
      <c r="F343" s="3"/>
    </row>
    <row r="344">
      <c r="A344" s="1"/>
      <c r="B344" s="3"/>
      <c r="C344" s="3"/>
      <c r="D344" s="3"/>
      <c r="E344" s="3"/>
      <c r="F344" s="3"/>
    </row>
    <row r="345">
      <c r="A345" s="1"/>
      <c r="B345" s="3"/>
      <c r="C345" s="3"/>
      <c r="D345" s="3"/>
      <c r="E345" s="3"/>
      <c r="F345" s="3"/>
    </row>
    <row r="346">
      <c r="A346" s="1"/>
      <c r="B346" s="3"/>
      <c r="C346" s="3"/>
      <c r="D346" s="3"/>
      <c r="E346" s="3"/>
      <c r="F346" s="3"/>
    </row>
    <row r="347">
      <c r="A347" s="1"/>
      <c r="B347" s="3"/>
      <c r="C347" s="3"/>
      <c r="D347" s="3"/>
      <c r="E347" s="3"/>
      <c r="F347" s="3"/>
    </row>
    <row r="348">
      <c r="A348" s="1"/>
      <c r="B348" s="3"/>
      <c r="C348" s="3"/>
      <c r="D348" s="3"/>
      <c r="E348" s="3"/>
      <c r="F348" s="3"/>
    </row>
    <row r="349">
      <c r="A349" s="1"/>
      <c r="B349" s="3"/>
      <c r="C349" s="3"/>
      <c r="D349" s="3"/>
      <c r="E349" s="3"/>
      <c r="F349" s="3"/>
    </row>
    <row r="350">
      <c r="A350" s="1"/>
      <c r="B350" s="3"/>
      <c r="C350" s="3"/>
      <c r="D350" s="3"/>
      <c r="E350" s="3"/>
      <c r="F350" s="3"/>
    </row>
    <row r="351">
      <c r="A351" s="1"/>
      <c r="B351" s="3"/>
      <c r="C351" s="3"/>
      <c r="D351" s="3"/>
      <c r="E351" s="3"/>
      <c r="F351" s="3"/>
    </row>
    <row r="352">
      <c r="A352" s="1"/>
      <c r="B352" s="3"/>
      <c r="C352" s="3"/>
      <c r="D352" s="3"/>
      <c r="E352" s="3"/>
      <c r="F352" s="3"/>
    </row>
    <row r="353">
      <c r="A353" s="1"/>
      <c r="B353" s="3"/>
      <c r="C353" s="3"/>
      <c r="D353" s="3"/>
      <c r="E353" s="3"/>
      <c r="F353" s="3"/>
    </row>
    <row r="354">
      <c r="A354" s="1"/>
      <c r="B354" s="3"/>
      <c r="C354" s="3"/>
      <c r="D354" s="3"/>
      <c r="E354" s="3"/>
      <c r="F354" s="3"/>
    </row>
    <row r="355">
      <c r="A355" s="1"/>
      <c r="B355" s="3"/>
      <c r="C355" s="3"/>
      <c r="D355" s="3"/>
      <c r="E355" s="3"/>
      <c r="F355" s="3"/>
    </row>
    <row r="356">
      <c r="A356" s="1"/>
      <c r="B356" s="3"/>
      <c r="C356" s="3"/>
      <c r="D356" s="3"/>
      <c r="E356" s="3"/>
      <c r="F356" s="3"/>
    </row>
    <row r="357">
      <c r="A357" s="1"/>
      <c r="B357" s="3"/>
      <c r="C357" s="3"/>
      <c r="D357" s="3"/>
      <c r="E357" s="3"/>
      <c r="F357" s="3"/>
    </row>
    <row r="358">
      <c r="A358" s="1"/>
      <c r="B358" s="3"/>
      <c r="C358" s="3"/>
      <c r="D358" s="3"/>
      <c r="E358" s="3"/>
      <c r="F358" s="3"/>
    </row>
    <row r="359">
      <c r="A359" s="1"/>
      <c r="B359" s="3"/>
      <c r="C359" s="3"/>
      <c r="D359" s="3"/>
      <c r="E359" s="3"/>
      <c r="F359" s="3"/>
    </row>
    <row r="360">
      <c r="A360" s="1"/>
      <c r="B360" s="3"/>
      <c r="C360" s="3"/>
      <c r="D360" s="3"/>
      <c r="E360" s="3"/>
      <c r="F360" s="3"/>
    </row>
    <row r="361">
      <c r="A361" s="1"/>
      <c r="B361" s="3"/>
      <c r="C361" s="3"/>
      <c r="D361" s="3"/>
      <c r="E361" s="3"/>
      <c r="F361" s="3"/>
    </row>
    <row r="362">
      <c r="A362" s="1"/>
      <c r="B362" s="3"/>
      <c r="C362" s="3"/>
      <c r="D362" s="3"/>
      <c r="E362" s="3"/>
      <c r="F362" s="3"/>
    </row>
    <row r="363">
      <c r="A363" s="1"/>
      <c r="B363" s="3"/>
      <c r="C363" s="3"/>
      <c r="D363" s="3"/>
      <c r="E363" s="3"/>
      <c r="F363" s="3"/>
    </row>
    <row r="364">
      <c r="A364" s="1"/>
      <c r="B364" s="3"/>
      <c r="C364" s="3"/>
      <c r="D364" s="3"/>
      <c r="E364" s="3"/>
      <c r="F364" s="3"/>
    </row>
    <row r="365">
      <c r="A365" s="1"/>
      <c r="B365" s="3"/>
      <c r="C365" s="3"/>
      <c r="D365" s="3"/>
      <c r="E365" s="3"/>
      <c r="F365" s="3"/>
    </row>
    <row r="366">
      <c r="A366" s="1"/>
      <c r="B366" s="3"/>
      <c r="C366" s="3"/>
      <c r="D366" s="3"/>
      <c r="E366" s="3"/>
      <c r="F366" s="3"/>
    </row>
    <row r="367">
      <c r="A367" s="1"/>
      <c r="B367" s="3"/>
      <c r="C367" s="3"/>
      <c r="D367" s="3"/>
      <c r="E367" s="3"/>
      <c r="F367" s="3"/>
    </row>
    <row r="368">
      <c r="A368" s="1"/>
      <c r="B368" s="3"/>
      <c r="C368" s="3"/>
      <c r="D368" s="3"/>
      <c r="E368" s="3"/>
      <c r="F368" s="3"/>
    </row>
    <row r="369">
      <c r="A369" s="1"/>
      <c r="B369" s="3"/>
      <c r="C369" s="3"/>
      <c r="D369" s="3"/>
      <c r="E369" s="3"/>
      <c r="F369" s="3"/>
    </row>
    <row r="370">
      <c r="A370" s="1"/>
      <c r="B370" s="3"/>
      <c r="C370" s="3"/>
      <c r="D370" s="3"/>
      <c r="E370" s="3"/>
      <c r="F370" s="3"/>
    </row>
    <row r="371">
      <c r="A371" s="1"/>
      <c r="B371" s="3"/>
      <c r="C371" s="3"/>
      <c r="D371" s="3"/>
      <c r="E371" s="3"/>
      <c r="F371" s="3"/>
    </row>
    <row r="372">
      <c r="A372" s="1"/>
      <c r="B372" s="3"/>
      <c r="C372" s="3"/>
      <c r="D372" s="3"/>
      <c r="E372" s="3"/>
      <c r="F372" s="3"/>
    </row>
    <row r="373">
      <c r="A373" s="1"/>
      <c r="B373" s="3"/>
      <c r="C373" s="3"/>
      <c r="D373" s="3"/>
      <c r="E373" s="3"/>
      <c r="F373" s="3"/>
    </row>
    <row r="374">
      <c r="A374" s="1"/>
      <c r="B374" s="3"/>
      <c r="C374" s="3"/>
      <c r="D374" s="3"/>
      <c r="E374" s="3"/>
      <c r="F374" s="3"/>
    </row>
    <row r="375">
      <c r="A375" s="1"/>
      <c r="B375" s="3"/>
      <c r="C375" s="3"/>
      <c r="D375" s="3"/>
      <c r="E375" s="3"/>
      <c r="F375" s="3"/>
    </row>
    <row r="376">
      <c r="A376" s="1"/>
      <c r="B376" s="3"/>
      <c r="C376" s="3"/>
      <c r="D376" s="3"/>
      <c r="E376" s="3"/>
      <c r="F376" s="3"/>
    </row>
    <row r="377">
      <c r="A377" s="1"/>
      <c r="B377" s="3"/>
      <c r="C377" s="3"/>
      <c r="D377" s="3"/>
      <c r="E377" s="3"/>
      <c r="F377" s="3"/>
    </row>
    <row r="378">
      <c r="A378" s="1"/>
      <c r="B378" s="3"/>
      <c r="C378" s="3"/>
      <c r="D378" s="3"/>
      <c r="E378" s="3"/>
      <c r="F378" s="3"/>
    </row>
    <row r="379">
      <c r="A379" s="1"/>
      <c r="B379" s="3"/>
      <c r="C379" s="3"/>
      <c r="D379" s="3"/>
      <c r="E379" s="3"/>
      <c r="F379" s="3"/>
    </row>
    <row r="380">
      <c r="A380" s="1"/>
      <c r="B380" s="3"/>
      <c r="C380" s="3"/>
      <c r="D380" s="3"/>
      <c r="E380" s="3"/>
      <c r="F380" s="3"/>
    </row>
    <row r="381">
      <c r="A381" s="1"/>
      <c r="B381" s="3"/>
      <c r="C381" s="3"/>
      <c r="D381" s="3"/>
      <c r="E381" s="3"/>
      <c r="F381" s="3"/>
    </row>
    <row r="382">
      <c r="A382" s="1"/>
      <c r="B382" s="3"/>
      <c r="C382" s="3"/>
      <c r="D382" s="3"/>
      <c r="E382" s="3"/>
      <c r="F382" s="3"/>
    </row>
    <row r="383">
      <c r="A383" s="1"/>
      <c r="B383" s="3"/>
      <c r="C383" s="3"/>
      <c r="D383" s="3"/>
      <c r="E383" s="3"/>
      <c r="F383" s="3"/>
    </row>
    <row r="384">
      <c r="A384" s="1"/>
      <c r="B384" s="3"/>
      <c r="C384" s="3"/>
      <c r="D384" s="3"/>
      <c r="E384" s="3"/>
      <c r="F384" s="3"/>
    </row>
    <row r="385">
      <c r="A385" s="1"/>
      <c r="B385" s="3"/>
      <c r="C385" s="3"/>
      <c r="D385" s="3"/>
      <c r="E385" s="3"/>
      <c r="F385" s="3"/>
    </row>
    <row r="386">
      <c r="A386" s="1"/>
      <c r="B386" s="3"/>
      <c r="C386" s="3"/>
      <c r="D386" s="3"/>
      <c r="E386" s="3"/>
      <c r="F386" s="3"/>
    </row>
    <row r="387">
      <c r="A387" s="1"/>
      <c r="B387" s="3"/>
      <c r="C387" s="3"/>
      <c r="D387" s="3"/>
      <c r="E387" s="3"/>
      <c r="F387" s="3"/>
    </row>
    <row r="388">
      <c r="A388" s="1"/>
      <c r="B388" s="3"/>
      <c r="C388" s="3"/>
      <c r="D388" s="3"/>
      <c r="E388" s="3"/>
      <c r="F388" s="3"/>
    </row>
    <row r="389">
      <c r="A389" s="1"/>
      <c r="B389" s="3"/>
      <c r="C389" s="3"/>
      <c r="D389" s="3"/>
      <c r="E389" s="3"/>
      <c r="F389" s="3"/>
    </row>
    <row r="390">
      <c r="A390" s="1"/>
      <c r="B390" s="3"/>
      <c r="C390" s="3"/>
      <c r="D390" s="3"/>
      <c r="E390" s="3"/>
      <c r="F390" s="3"/>
    </row>
    <row r="391">
      <c r="A391" s="1"/>
      <c r="B391" s="3"/>
      <c r="C391" s="3"/>
      <c r="D391" s="3"/>
      <c r="E391" s="3"/>
      <c r="F391" s="3"/>
    </row>
    <row r="392">
      <c r="A392" s="1"/>
      <c r="B392" s="3"/>
      <c r="C392" s="3"/>
      <c r="D392" s="3"/>
      <c r="E392" s="3"/>
      <c r="F392" s="3"/>
    </row>
    <row r="393">
      <c r="A393" s="1"/>
      <c r="B393" s="3"/>
      <c r="C393" s="3"/>
      <c r="D393" s="3"/>
      <c r="E393" s="3"/>
      <c r="F393" s="3"/>
    </row>
    <row r="394">
      <c r="A394" s="1"/>
      <c r="B394" s="3"/>
      <c r="C394" s="3"/>
      <c r="D394" s="3"/>
      <c r="E394" s="3"/>
      <c r="F394" s="3"/>
    </row>
    <row r="395">
      <c r="A395" s="1"/>
      <c r="B395" s="3"/>
      <c r="C395" s="3"/>
      <c r="D395" s="3"/>
      <c r="E395" s="3"/>
      <c r="F395" s="3"/>
    </row>
    <row r="396">
      <c r="A396" s="1"/>
      <c r="B396" s="3"/>
      <c r="C396" s="3"/>
      <c r="D396" s="3"/>
      <c r="E396" s="3"/>
      <c r="F396" s="3"/>
    </row>
    <row r="397">
      <c r="A397" s="1"/>
      <c r="B397" s="3"/>
      <c r="C397" s="3"/>
      <c r="D397" s="3"/>
      <c r="E397" s="3"/>
      <c r="F397" s="3"/>
    </row>
    <row r="398">
      <c r="A398" s="1"/>
      <c r="B398" s="3"/>
      <c r="C398" s="3"/>
      <c r="D398" s="3"/>
      <c r="E398" s="3"/>
      <c r="F398" s="3"/>
    </row>
    <row r="399">
      <c r="A399" s="1"/>
      <c r="B399" s="3"/>
      <c r="C399" s="3"/>
      <c r="D399" s="3"/>
      <c r="E399" s="3"/>
      <c r="F399" s="3"/>
    </row>
    <row r="400">
      <c r="A400" s="1"/>
      <c r="B400" s="3"/>
      <c r="C400" s="3"/>
      <c r="D400" s="3"/>
      <c r="E400" s="3"/>
      <c r="F400" s="3"/>
    </row>
    <row r="401">
      <c r="A401" s="1"/>
      <c r="B401" s="3"/>
      <c r="C401" s="3"/>
      <c r="D401" s="3"/>
      <c r="E401" s="3"/>
      <c r="F401" s="3"/>
    </row>
    <row r="402">
      <c r="A402" s="1"/>
      <c r="B402" s="3"/>
      <c r="C402" s="3"/>
      <c r="D402" s="3"/>
      <c r="E402" s="3"/>
      <c r="F402" s="3"/>
    </row>
    <row r="403">
      <c r="A403" s="1"/>
      <c r="B403" s="3"/>
      <c r="C403" s="3"/>
      <c r="D403" s="3"/>
      <c r="E403" s="3"/>
      <c r="F403" s="3"/>
    </row>
    <row r="404">
      <c r="A404" s="1"/>
      <c r="B404" s="3"/>
      <c r="C404" s="3"/>
      <c r="D404" s="3"/>
      <c r="E404" s="3"/>
      <c r="F404" s="3"/>
    </row>
    <row r="405">
      <c r="A405" s="1"/>
      <c r="B405" s="3"/>
      <c r="C405" s="3"/>
      <c r="D405" s="3"/>
      <c r="E405" s="3"/>
      <c r="F405" s="3"/>
    </row>
    <row r="406">
      <c r="A406" s="1"/>
      <c r="B406" s="3"/>
      <c r="C406" s="3"/>
      <c r="D406" s="3"/>
      <c r="E406" s="3"/>
      <c r="F406" s="3"/>
    </row>
    <row r="407">
      <c r="A407" s="1"/>
      <c r="B407" s="3"/>
      <c r="C407" s="3"/>
      <c r="D407" s="3"/>
      <c r="E407" s="3"/>
      <c r="F407" s="3"/>
    </row>
    <row r="408">
      <c r="A408" s="1"/>
      <c r="B408" s="3"/>
      <c r="C408" s="3"/>
      <c r="D408" s="3"/>
      <c r="E408" s="3"/>
      <c r="F408" s="3"/>
    </row>
    <row r="409">
      <c r="A409" s="1"/>
      <c r="B409" s="3"/>
      <c r="C409" s="3"/>
      <c r="D409" s="3"/>
      <c r="E409" s="3"/>
      <c r="F409" s="3"/>
    </row>
    <row r="410">
      <c r="A410" s="1"/>
      <c r="B410" s="3"/>
      <c r="C410" s="3"/>
      <c r="D410" s="3"/>
      <c r="E410" s="3"/>
      <c r="F410" s="3"/>
    </row>
    <row r="411">
      <c r="A411" s="1"/>
      <c r="B411" s="3"/>
      <c r="C411" s="3"/>
      <c r="D411" s="3"/>
      <c r="E411" s="3"/>
      <c r="F411" s="3"/>
    </row>
    <row r="412">
      <c r="A412" s="1"/>
      <c r="B412" s="3"/>
      <c r="C412" s="3"/>
      <c r="D412" s="3"/>
      <c r="E412" s="3"/>
      <c r="F412" s="3"/>
    </row>
    <row r="413">
      <c r="A413" s="1"/>
      <c r="B413" s="3"/>
      <c r="C413" s="3"/>
      <c r="D413" s="3"/>
      <c r="E413" s="3"/>
      <c r="F413" s="3"/>
    </row>
    <row r="414">
      <c r="A414" s="1"/>
      <c r="B414" s="3"/>
      <c r="C414" s="3"/>
      <c r="D414" s="3"/>
      <c r="E414" s="3"/>
      <c r="F414" s="3"/>
    </row>
    <row r="415">
      <c r="A415" s="1"/>
      <c r="B415" s="3"/>
      <c r="C415" s="3"/>
      <c r="D415" s="3"/>
      <c r="E415" s="3"/>
      <c r="F415" s="3"/>
    </row>
    <row r="416">
      <c r="A416" s="1"/>
      <c r="B416" s="3"/>
      <c r="C416" s="3"/>
      <c r="D416" s="3"/>
      <c r="E416" s="3"/>
      <c r="F416" s="3"/>
    </row>
    <row r="417">
      <c r="A417" s="1"/>
      <c r="B417" s="3"/>
      <c r="C417" s="3"/>
      <c r="D417" s="3"/>
      <c r="E417" s="3"/>
      <c r="F417" s="3"/>
    </row>
    <row r="418">
      <c r="A418" s="1"/>
      <c r="B418" s="3"/>
      <c r="C418" s="3"/>
      <c r="D418" s="3"/>
      <c r="E418" s="3"/>
      <c r="F418" s="3"/>
    </row>
    <row r="419">
      <c r="A419" s="1"/>
      <c r="B419" s="3"/>
      <c r="C419" s="3"/>
      <c r="D419" s="3"/>
      <c r="E419" s="3"/>
      <c r="F419" s="3"/>
    </row>
    <row r="420">
      <c r="A420" s="1"/>
      <c r="B420" s="3"/>
      <c r="C420" s="3"/>
      <c r="D420" s="3"/>
      <c r="E420" s="3"/>
      <c r="F420" s="3"/>
    </row>
    <row r="421">
      <c r="A421" s="1"/>
      <c r="B421" s="3"/>
      <c r="C421" s="3"/>
      <c r="D421" s="3"/>
      <c r="E421" s="3"/>
      <c r="F421" s="3"/>
    </row>
    <row r="422">
      <c r="A422" s="1"/>
      <c r="B422" s="3"/>
      <c r="C422" s="3"/>
      <c r="D422" s="3"/>
      <c r="E422" s="3"/>
      <c r="F422" s="3"/>
    </row>
    <row r="423">
      <c r="A423" s="1"/>
      <c r="B423" s="3"/>
      <c r="C423" s="3"/>
      <c r="D423" s="3"/>
      <c r="E423" s="3"/>
      <c r="F423" s="3"/>
    </row>
    <row r="424">
      <c r="A424" s="1"/>
      <c r="B424" s="3"/>
      <c r="C424" s="3"/>
      <c r="D424" s="3"/>
      <c r="E424" s="3"/>
      <c r="F424" s="3"/>
    </row>
    <row r="425">
      <c r="A425" s="1"/>
      <c r="B425" s="3"/>
      <c r="C425" s="3"/>
      <c r="D425" s="3"/>
      <c r="E425" s="3"/>
      <c r="F425" s="3"/>
    </row>
    <row r="426">
      <c r="A426" s="1"/>
      <c r="B426" s="3"/>
      <c r="C426" s="3"/>
      <c r="D426" s="3"/>
      <c r="E426" s="3"/>
      <c r="F426" s="3"/>
    </row>
    <row r="427">
      <c r="A427" s="1"/>
      <c r="B427" s="3"/>
      <c r="C427" s="3"/>
      <c r="D427" s="3"/>
      <c r="E427" s="3"/>
      <c r="F427" s="3"/>
    </row>
    <row r="428">
      <c r="A428" s="1"/>
      <c r="B428" s="3"/>
      <c r="C428" s="3"/>
      <c r="D428" s="3"/>
      <c r="E428" s="3"/>
      <c r="F428" s="3"/>
    </row>
    <row r="429">
      <c r="A429" s="1"/>
      <c r="B429" s="3"/>
      <c r="C429" s="3"/>
      <c r="D429" s="3"/>
      <c r="E429" s="3"/>
      <c r="F429" s="3"/>
    </row>
    <row r="430">
      <c r="A430" s="1"/>
      <c r="B430" s="3"/>
      <c r="C430" s="3"/>
      <c r="D430" s="3"/>
      <c r="E430" s="3"/>
      <c r="F430" s="3"/>
    </row>
    <row r="431">
      <c r="A431" s="1"/>
      <c r="B431" s="3"/>
      <c r="C431" s="3"/>
      <c r="D431" s="3"/>
      <c r="E431" s="3"/>
      <c r="F431" s="3"/>
    </row>
    <row r="432">
      <c r="A432" s="1"/>
      <c r="B432" s="3"/>
      <c r="C432" s="3"/>
      <c r="D432" s="3"/>
      <c r="E432" s="3"/>
      <c r="F432" s="3"/>
    </row>
    <row r="433">
      <c r="A433" s="1"/>
      <c r="B433" s="3"/>
      <c r="C433" s="3"/>
      <c r="D433" s="3"/>
      <c r="E433" s="3"/>
      <c r="F433" s="3"/>
    </row>
    <row r="434">
      <c r="A434" s="1"/>
      <c r="B434" s="3"/>
      <c r="C434" s="3"/>
      <c r="D434" s="3"/>
      <c r="E434" s="3"/>
      <c r="F434" s="3"/>
    </row>
    <row r="435">
      <c r="A435" s="1"/>
      <c r="B435" s="3"/>
      <c r="C435" s="3"/>
      <c r="D435" s="3"/>
      <c r="E435" s="3"/>
      <c r="F435" s="3"/>
    </row>
    <row r="436">
      <c r="A436" s="1"/>
      <c r="B436" s="3"/>
      <c r="C436" s="3"/>
      <c r="D436" s="3"/>
      <c r="E436" s="3"/>
      <c r="F436" s="3"/>
    </row>
    <row r="437">
      <c r="A437" s="1"/>
      <c r="B437" s="3"/>
      <c r="C437" s="3"/>
      <c r="D437" s="3"/>
      <c r="E437" s="3"/>
      <c r="F437" s="3"/>
    </row>
    <row r="438">
      <c r="A438" s="1"/>
      <c r="B438" s="3"/>
      <c r="C438" s="3"/>
      <c r="D438" s="3"/>
      <c r="E438" s="3"/>
      <c r="F438" s="3"/>
    </row>
    <row r="439">
      <c r="A439" s="1"/>
      <c r="B439" s="3"/>
      <c r="C439" s="3"/>
      <c r="D439" s="3"/>
      <c r="E439" s="3"/>
      <c r="F439" s="3"/>
    </row>
    <row r="440">
      <c r="A440" s="1"/>
      <c r="B440" s="3"/>
      <c r="C440" s="3"/>
      <c r="D440" s="3"/>
      <c r="E440" s="3"/>
      <c r="F440" s="3"/>
    </row>
    <row r="441">
      <c r="A441" s="1"/>
      <c r="B441" s="3"/>
      <c r="C441" s="3"/>
      <c r="D441" s="3"/>
      <c r="E441" s="3"/>
      <c r="F441" s="3"/>
    </row>
    <row r="442">
      <c r="A442" s="1"/>
      <c r="B442" s="3"/>
      <c r="C442" s="3"/>
      <c r="D442" s="3"/>
      <c r="E442" s="3"/>
      <c r="F442" s="3"/>
    </row>
    <row r="443">
      <c r="A443" s="1"/>
      <c r="B443" s="3"/>
      <c r="C443" s="3"/>
      <c r="D443" s="3"/>
      <c r="E443" s="3"/>
      <c r="F443" s="3"/>
    </row>
    <row r="444">
      <c r="A444" s="1"/>
      <c r="B444" s="3"/>
      <c r="C444" s="3"/>
      <c r="D444" s="3"/>
      <c r="E444" s="3"/>
      <c r="F444" s="3"/>
    </row>
    <row r="445">
      <c r="A445" s="1"/>
      <c r="B445" s="3"/>
      <c r="C445" s="3"/>
      <c r="D445" s="3"/>
      <c r="E445" s="3"/>
      <c r="F445" s="3"/>
    </row>
    <row r="446">
      <c r="A446" s="1"/>
      <c r="B446" s="3"/>
      <c r="C446" s="3"/>
      <c r="D446" s="3"/>
      <c r="E446" s="3"/>
      <c r="F446" s="3"/>
    </row>
    <row r="447">
      <c r="A447" s="1"/>
      <c r="B447" s="3"/>
      <c r="C447" s="3"/>
      <c r="D447" s="3"/>
      <c r="E447" s="3"/>
      <c r="F447" s="3"/>
    </row>
    <row r="448">
      <c r="A448" s="1"/>
      <c r="B448" s="3"/>
      <c r="C448" s="3"/>
      <c r="D448" s="3"/>
      <c r="E448" s="3"/>
      <c r="F448" s="3"/>
    </row>
    <row r="449">
      <c r="A449" s="1"/>
      <c r="B449" s="3"/>
      <c r="C449" s="3"/>
      <c r="D449" s="3"/>
      <c r="E449" s="3"/>
      <c r="F449" s="3"/>
    </row>
    <row r="450">
      <c r="A450" s="1"/>
      <c r="B450" s="3"/>
      <c r="C450" s="3"/>
      <c r="D450" s="3"/>
      <c r="E450" s="3"/>
      <c r="F450" s="3"/>
    </row>
    <row r="451">
      <c r="A451" s="1"/>
      <c r="B451" s="3"/>
      <c r="C451" s="3"/>
      <c r="D451" s="3"/>
      <c r="E451" s="3"/>
      <c r="F451" s="3"/>
    </row>
    <row r="452">
      <c r="A452" s="1"/>
      <c r="B452" s="3"/>
      <c r="C452" s="3"/>
      <c r="D452" s="3"/>
      <c r="E452" s="3"/>
      <c r="F452" s="3"/>
    </row>
    <row r="453">
      <c r="A453" s="1"/>
      <c r="B453" s="3"/>
      <c r="C453" s="3"/>
      <c r="D453" s="3"/>
      <c r="E453" s="3"/>
      <c r="F453" s="3"/>
    </row>
    <row r="454">
      <c r="A454" s="1"/>
      <c r="B454" s="3"/>
      <c r="C454" s="3"/>
      <c r="D454" s="3"/>
      <c r="E454" s="3"/>
      <c r="F454" s="3"/>
    </row>
    <row r="455">
      <c r="A455" s="1"/>
      <c r="B455" s="3"/>
      <c r="C455" s="3"/>
      <c r="D455" s="3"/>
      <c r="E455" s="3"/>
      <c r="F455" s="3"/>
    </row>
    <row r="456">
      <c r="A456" s="1"/>
      <c r="B456" s="3"/>
      <c r="C456" s="3"/>
      <c r="D456" s="3"/>
      <c r="E456" s="3"/>
      <c r="F456" s="3"/>
    </row>
    <row r="457">
      <c r="A457" s="1"/>
      <c r="B457" s="3"/>
      <c r="C457" s="3"/>
      <c r="D457" s="3"/>
      <c r="E457" s="3"/>
      <c r="F457" s="3"/>
    </row>
    <row r="458">
      <c r="A458" s="1"/>
      <c r="B458" s="3"/>
      <c r="C458" s="3"/>
      <c r="D458" s="3"/>
      <c r="E458" s="3"/>
      <c r="F458" s="3"/>
    </row>
    <row r="459">
      <c r="A459" s="1"/>
      <c r="B459" s="3"/>
      <c r="C459" s="3"/>
      <c r="D459" s="3"/>
      <c r="E459" s="3"/>
      <c r="F459" s="3"/>
    </row>
    <row r="460">
      <c r="A460" s="1"/>
      <c r="B460" s="3"/>
      <c r="C460" s="3"/>
      <c r="D460" s="3"/>
      <c r="E460" s="3"/>
      <c r="F460" s="3"/>
    </row>
    <row r="461">
      <c r="A461" s="1"/>
      <c r="B461" s="3"/>
      <c r="C461" s="3"/>
      <c r="D461" s="3"/>
      <c r="E461" s="3"/>
      <c r="F461" s="3"/>
    </row>
    <row r="462">
      <c r="A462" s="1"/>
      <c r="B462" s="3"/>
      <c r="C462" s="3"/>
      <c r="D462" s="3"/>
      <c r="E462" s="3"/>
      <c r="F462" s="3"/>
    </row>
    <row r="463">
      <c r="A463" s="1"/>
      <c r="B463" s="3"/>
      <c r="C463" s="3"/>
      <c r="D463" s="3"/>
      <c r="E463" s="3"/>
      <c r="F463" s="3"/>
    </row>
    <row r="464">
      <c r="A464" s="1"/>
      <c r="B464" s="3"/>
      <c r="C464" s="3"/>
      <c r="D464" s="3"/>
      <c r="E464" s="3"/>
      <c r="F464" s="3"/>
    </row>
    <row r="465">
      <c r="A465" s="1"/>
      <c r="B465" s="3"/>
      <c r="C465" s="3"/>
      <c r="D465" s="3"/>
      <c r="E465" s="3"/>
      <c r="F465" s="3"/>
    </row>
    <row r="466">
      <c r="A466" s="1"/>
      <c r="B466" s="3"/>
      <c r="C466" s="3"/>
      <c r="D466" s="3"/>
      <c r="E466" s="3"/>
      <c r="F466" s="3"/>
    </row>
    <row r="467">
      <c r="A467" s="1"/>
      <c r="B467" s="3"/>
      <c r="C467" s="3"/>
      <c r="D467" s="3"/>
      <c r="E467" s="3"/>
      <c r="F467" s="3"/>
    </row>
    <row r="468">
      <c r="A468" s="1"/>
      <c r="B468" s="3"/>
      <c r="C468" s="3"/>
      <c r="D468" s="3"/>
      <c r="E468" s="3"/>
      <c r="F468" s="3"/>
    </row>
    <row r="469">
      <c r="A469" s="1"/>
      <c r="B469" s="3"/>
      <c r="C469" s="3"/>
      <c r="D469" s="3"/>
      <c r="E469" s="3"/>
      <c r="F469" s="3"/>
    </row>
    <row r="470">
      <c r="A470" s="1"/>
      <c r="B470" s="3"/>
      <c r="C470" s="3"/>
      <c r="D470" s="3"/>
      <c r="E470" s="3"/>
      <c r="F470" s="3"/>
    </row>
    <row r="471">
      <c r="A471" s="1"/>
      <c r="B471" s="3"/>
      <c r="C471" s="3"/>
      <c r="D471" s="3"/>
      <c r="E471" s="3"/>
      <c r="F471" s="3"/>
    </row>
    <row r="472">
      <c r="A472" s="1"/>
      <c r="B472" s="3"/>
      <c r="C472" s="3"/>
      <c r="D472" s="3"/>
      <c r="E472" s="3"/>
      <c r="F472" s="3"/>
    </row>
    <row r="473">
      <c r="A473" s="1"/>
      <c r="B473" s="3"/>
      <c r="C473" s="3"/>
      <c r="D473" s="3"/>
      <c r="E473" s="3"/>
      <c r="F473" s="3"/>
    </row>
    <row r="474">
      <c r="A474" s="1"/>
      <c r="B474" s="3"/>
      <c r="C474" s="3"/>
      <c r="D474" s="3"/>
      <c r="E474" s="3"/>
      <c r="F474" s="3"/>
    </row>
    <row r="475">
      <c r="A475" s="1"/>
      <c r="B475" s="3"/>
      <c r="C475" s="3"/>
      <c r="D475" s="3"/>
      <c r="E475" s="3"/>
      <c r="F475" s="3"/>
    </row>
    <row r="476">
      <c r="A476" s="1"/>
      <c r="B476" s="3"/>
      <c r="C476" s="3"/>
      <c r="D476" s="3"/>
      <c r="E476" s="3"/>
      <c r="F476" s="3"/>
    </row>
    <row r="477">
      <c r="A477" s="1"/>
      <c r="B477" s="3"/>
      <c r="C477" s="3"/>
      <c r="D477" s="3"/>
      <c r="E477" s="3"/>
      <c r="F477" s="3"/>
    </row>
    <row r="478">
      <c r="A478" s="1"/>
      <c r="B478" s="3"/>
      <c r="C478" s="3"/>
      <c r="D478" s="3"/>
      <c r="E478" s="3"/>
      <c r="F478" s="3"/>
    </row>
    <row r="479">
      <c r="A479" s="1"/>
      <c r="B479" s="3"/>
      <c r="C479" s="3"/>
      <c r="D479" s="3"/>
      <c r="E479" s="3"/>
      <c r="F479" s="3"/>
    </row>
    <row r="480">
      <c r="A480" s="1"/>
      <c r="B480" s="3"/>
      <c r="C480" s="3"/>
      <c r="D480" s="3"/>
      <c r="E480" s="3"/>
      <c r="F480" s="3"/>
    </row>
    <row r="481">
      <c r="A481" s="1"/>
      <c r="B481" s="3"/>
      <c r="C481" s="3"/>
      <c r="D481" s="3"/>
      <c r="E481" s="3"/>
      <c r="F481" s="3"/>
    </row>
    <row r="482">
      <c r="A482" s="1"/>
      <c r="B482" s="3"/>
      <c r="C482" s="3"/>
      <c r="D482" s="3"/>
      <c r="E482" s="3"/>
      <c r="F482" s="3"/>
    </row>
    <row r="483">
      <c r="A483" s="1"/>
      <c r="B483" s="3"/>
      <c r="C483" s="3"/>
      <c r="D483" s="3"/>
      <c r="E483" s="3"/>
      <c r="F483" s="3"/>
    </row>
    <row r="484">
      <c r="A484" s="1"/>
      <c r="B484" s="3"/>
      <c r="C484" s="3"/>
      <c r="D484" s="3"/>
      <c r="E484" s="3"/>
      <c r="F484" s="3"/>
    </row>
    <row r="485">
      <c r="A485" s="1"/>
      <c r="B485" s="3"/>
      <c r="C485" s="3"/>
      <c r="D485" s="3"/>
      <c r="E485" s="3"/>
      <c r="F485" s="3"/>
    </row>
    <row r="486">
      <c r="A486" s="1"/>
      <c r="B486" s="3"/>
      <c r="C486" s="3"/>
      <c r="D486" s="3"/>
      <c r="E486" s="3"/>
      <c r="F486" s="3"/>
    </row>
    <row r="487">
      <c r="A487" s="1"/>
      <c r="B487" s="3"/>
      <c r="C487" s="3"/>
      <c r="D487" s="3"/>
      <c r="E487" s="3"/>
      <c r="F487" s="3"/>
    </row>
    <row r="488">
      <c r="A488" s="1"/>
      <c r="B488" s="3"/>
      <c r="C488" s="3"/>
      <c r="D488" s="3"/>
      <c r="E488" s="3"/>
      <c r="F488" s="3"/>
    </row>
    <row r="489">
      <c r="A489" s="1"/>
      <c r="B489" s="3"/>
      <c r="C489" s="3"/>
      <c r="D489" s="3"/>
      <c r="E489" s="3"/>
      <c r="F489" s="3"/>
    </row>
    <row r="490">
      <c r="A490" s="1"/>
      <c r="B490" s="3"/>
      <c r="C490" s="3"/>
      <c r="D490" s="3"/>
      <c r="E490" s="3"/>
      <c r="F490" s="3"/>
    </row>
    <row r="491">
      <c r="A491" s="1"/>
      <c r="B491" s="3"/>
      <c r="C491" s="3"/>
      <c r="D491" s="3"/>
      <c r="E491" s="3"/>
      <c r="F491" s="3"/>
    </row>
    <row r="492">
      <c r="A492" s="1"/>
      <c r="B492" s="3"/>
      <c r="C492" s="3"/>
      <c r="D492" s="3"/>
      <c r="E492" s="3"/>
      <c r="F492" s="3"/>
    </row>
    <row r="493">
      <c r="A493" s="1"/>
      <c r="B493" s="3"/>
      <c r="C493" s="3"/>
      <c r="D493" s="3"/>
      <c r="E493" s="3"/>
      <c r="F493" s="3"/>
    </row>
    <row r="494">
      <c r="A494" s="1"/>
      <c r="B494" s="3"/>
      <c r="C494" s="3"/>
      <c r="D494" s="3"/>
      <c r="E494" s="3"/>
      <c r="F494" s="3"/>
    </row>
    <row r="495">
      <c r="A495" s="1"/>
      <c r="B495" s="3"/>
      <c r="C495" s="3"/>
      <c r="D495" s="3"/>
      <c r="E495" s="3"/>
      <c r="F495" s="3"/>
    </row>
    <row r="496">
      <c r="A496" s="1"/>
      <c r="B496" s="3"/>
      <c r="C496" s="3"/>
      <c r="D496" s="3"/>
      <c r="E496" s="3"/>
      <c r="F496" s="3"/>
    </row>
    <row r="497">
      <c r="A497" s="1"/>
      <c r="B497" s="3"/>
      <c r="C497" s="3"/>
      <c r="D497" s="3"/>
      <c r="E497" s="3"/>
      <c r="F497" s="3"/>
    </row>
    <row r="498">
      <c r="A498" s="1"/>
      <c r="B498" s="3"/>
      <c r="C498" s="3"/>
      <c r="D498" s="3"/>
      <c r="E498" s="3"/>
      <c r="F498" s="3"/>
    </row>
    <row r="499">
      <c r="A499" s="1"/>
      <c r="B499" s="3"/>
      <c r="C499" s="3"/>
      <c r="D499" s="3"/>
      <c r="E499" s="3"/>
      <c r="F499" s="3"/>
    </row>
    <row r="500">
      <c r="A500" s="1"/>
      <c r="B500" s="3"/>
      <c r="C500" s="3"/>
      <c r="D500" s="3"/>
      <c r="E500" s="3"/>
      <c r="F500" s="3"/>
    </row>
    <row r="501">
      <c r="A501" s="1"/>
      <c r="B501" s="3"/>
      <c r="C501" s="3"/>
      <c r="D501" s="3"/>
      <c r="E501" s="3"/>
      <c r="F501" s="3"/>
    </row>
    <row r="502">
      <c r="A502" s="1"/>
      <c r="B502" s="3"/>
      <c r="C502" s="3"/>
      <c r="D502" s="3"/>
      <c r="E502" s="3"/>
      <c r="F502" s="3"/>
    </row>
    <row r="503">
      <c r="A503" s="1"/>
      <c r="B503" s="3"/>
      <c r="C503" s="3"/>
      <c r="D503" s="3"/>
      <c r="E503" s="3"/>
      <c r="F503" s="3"/>
    </row>
    <row r="504">
      <c r="A504" s="1"/>
      <c r="B504" s="3"/>
      <c r="C504" s="3"/>
      <c r="D504" s="3"/>
      <c r="E504" s="3"/>
      <c r="F504" s="3"/>
    </row>
    <row r="505">
      <c r="A505" s="1"/>
      <c r="B505" s="3"/>
      <c r="C505" s="3"/>
      <c r="D505" s="3"/>
      <c r="E505" s="3"/>
      <c r="F505" s="3"/>
    </row>
    <row r="506">
      <c r="A506" s="1"/>
      <c r="B506" s="3"/>
      <c r="C506" s="3"/>
      <c r="D506" s="3"/>
      <c r="E506" s="3"/>
      <c r="F506" s="3"/>
    </row>
    <row r="507">
      <c r="A507" s="1"/>
      <c r="B507" s="3"/>
      <c r="C507" s="3"/>
      <c r="D507" s="3"/>
      <c r="E507" s="3"/>
      <c r="F507" s="3"/>
    </row>
    <row r="508">
      <c r="A508" s="1"/>
      <c r="B508" s="3"/>
      <c r="C508" s="3"/>
      <c r="D508" s="3"/>
      <c r="E508" s="3"/>
      <c r="F508" s="3"/>
    </row>
    <row r="509">
      <c r="A509" s="1"/>
      <c r="B509" s="3"/>
      <c r="C509" s="3"/>
      <c r="D509" s="3"/>
      <c r="E509" s="3"/>
      <c r="F509" s="3"/>
    </row>
    <row r="510">
      <c r="A510" s="1"/>
      <c r="B510" s="3"/>
      <c r="C510" s="3"/>
      <c r="D510" s="3"/>
      <c r="E510" s="3"/>
      <c r="F510" s="3"/>
    </row>
    <row r="511">
      <c r="A511" s="1"/>
      <c r="B511" s="3"/>
      <c r="C511" s="3"/>
      <c r="D511" s="3"/>
      <c r="E511" s="3"/>
      <c r="F511" s="3"/>
    </row>
    <row r="512">
      <c r="A512" s="1"/>
      <c r="B512" s="3"/>
      <c r="C512" s="3"/>
      <c r="D512" s="3"/>
      <c r="E512" s="3"/>
      <c r="F512" s="3"/>
    </row>
    <row r="513">
      <c r="A513" s="1"/>
      <c r="B513" s="3"/>
      <c r="C513" s="3"/>
      <c r="D513" s="3"/>
      <c r="E513" s="3"/>
      <c r="F513" s="3"/>
    </row>
    <row r="514">
      <c r="A514" s="1"/>
      <c r="B514" s="3"/>
      <c r="C514" s="3"/>
      <c r="D514" s="3"/>
      <c r="E514" s="3"/>
      <c r="F514" s="3"/>
    </row>
    <row r="515">
      <c r="A515" s="1"/>
      <c r="B515" s="3"/>
      <c r="C515" s="3"/>
      <c r="D515" s="3"/>
      <c r="E515" s="3"/>
      <c r="F515" s="3"/>
    </row>
    <row r="516">
      <c r="A516" s="1"/>
      <c r="B516" s="3"/>
      <c r="C516" s="3"/>
      <c r="D516" s="3"/>
      <c r="E516" s="3"/>
      <c r="F516" s="3"/>
    </row>
    <row r="517">
      <c r="A517" s="1"/>
      <c r="B517" s="3"/>
      <c r="C517" s="3"/>
      <c r="D517" s="3"/>
      <c r="E517" s="3"/>
      <c r="F517" s="3"/>
    </row>
    <row r="518">
      <c r="A518" s="1"/>
      <c r="B518" s="3"/>
      <c r="C518" s="3"/>
      <c r="D518" s="3"/>
      <c r="E518" s="3"/>
      <c r="F518" s="3"/>
    </row>
    <row r="519">
      <c r="A519" s="1"/>
      <c r="B519" s="3"/>
      <c r="C519" s="3"/>
      <c r="D519" s="3"/>
      <c r="E519" s="3"/>
      <c r="F519" s="3"/>
    </row>
    <row r="520">
      <c r="A520" s="1"/>
      <c r="B520" s="3"/>
      <c r="C520" s="3"/>
      <c r="D520" s="3"/>
      <c r="E520" s="3"/>
      <c r="F520" s="3"/>
    </row>
    <row r="521">
      <c r="A521" s="1"/>
      <c r="B521" s="3"/>
      <c r="C521" s="3"/>
      <c r="D521" s="3"/>
      <c r="E521" s="3"/>
      <c r="F521" s="3"/>
    </row>
    <row r="522">
      <c r="A522" s="1"/>
      <c r="B522" s="3"/>
      <c r="C522" s="3"/>
      <c r="D522" s="3"/>
      <c r="E522" s="3"/>
      <c r="F522" s="3"/>
    </row>
    <row r="523">
      <c r="A523" s="1"/>
      <c r="B523" s="3"/>
      <c r="C523" s="3"/>
      <c r="D523" s="3"/>
      <c r="E523" s="3"/>
      <c r="F523" s="3"/>
    </row>
    <row r="524">
      <c r="A524" s="1"/>
      <c r="B524" s="3"/>
      <c r="C524" s="3"/>
      <c r="D524" s="3"/>
      <c r="E524" s="3"/>
      <c r="F524" s="3"/>
    </row>
    <row r="525">
      <c r="A525" s="1"/>
      <c r="B525" s="3"/>
      <c r="C525" s="3"/>
      <c r="D525" s="3"/>
      <c r="E525" s="3"/>
      <c r="F525" s="3"/>
    </row>
    <row r="526">
      <c r="A526" s="1"/>
      <c r="B526" s="3"/>
      <c r="C526" s="3"/>
      <c r="D526" s="3"/>
      <c r="E526" s="3"/>
      <c r="F526" s="3"/>
    </row>
    <row r="527">
      <c r="A527" s="1"/>
      <c r="B527" s="3"/>
      <c r="C527" s="3"/>
      <c r="D527" s="3"/>
      <c r="E527" s="3"/>
      <c r="F527" s="3"/>
    </row>
    <row r="528">
      <c r="A528" s="1"/>
      <c r="B528" s="3"/>
      <c r="C528" s="3"/>
      <c r="D528" s="3"/>
      <c r="E528" s="3"/>
      <c r="F528" s="3"/>
    </row>
    <row r="529">
      <c r="A529" s="1"/>
      <c r="B529" s="3"/>
      <c r="C529" s="3"/>
      <c r="D529" s="3"/>
      <c r="E529" s="3"/>
      <c r="F529" s="3"/>
    </row>
    <row r="530">
      <c r="A530" s="1"/>
      <c r="B530" s="3"/>
      <c r="C530" s="3"/>
      <c r="D530" s="3"/>
      <c r="E530" s="3"/>
      <c r="F530" s="3"/>
    </row>
    <row r="531">
      <c r="A531" s="1"/>
      <c r="B531" s="3"/>
      <c r="C531" s="3"/>
      <c r="D531" s="3"/>
      <c r="E531" s="3"/>
      <c r="F531" s="3"/>
    </row>
    <row r="532">
      <c r="A532" s="1"/>
      <c r="B532" s="3"/>
      <c r="C532" s="3"/>
      <c r="D532" s="3"/>
      <c r="E532" s="3"/>
      <c r="F532" s="3"/>
    </row>
    <row r="533">
      <c r="A533" s="1"/>
      <c r="B533" s="3"/>
      <c r="C533" s="3"/>
      <c r="D533" s="3"/>
      <c r="E533" s="3"/>
      <c r="F533" s="3"/>
    </row>
    <row r="534">
      <c r="A534" s="1"/>
      <c r="B534" s="3"/>
      <c r="C534" s="3"/>
      <c r="D534" s="3"/>
      <c r="E534" s="3"/>
      <c r="F534" s="3"/>
    </row>
    <row r="535">
      <c r="A535" s="1"/>
      <c r="B535" s="3"/>
      <c r="C535" s="3"/>
      <c r="D535" s="3"/>
      <c r="E535" s="3"/>
      <c r="F535" s="3"/>
    </row>
    <row r="536">
      <c r="A536" s="1"/>
      <c r="B536" s="3"/>
      <c r="C536" s="3"/>
      <c r="D536" s="3"/>
      <c r="E536" s="3"/>
      <c r="F536" s="3"/>
    </row>
    <row r="537">
      <c r="A537" s="1"/>
      <c r="B537" s="3"/>
      <c r="C537" s="3"/>
      <c r="D537" s="3"/>
      <c r="E537" s="3"/>
      <c r="F537" s="3"/>
    </row>
    <row r="538">
      <c r="A538" s="1"/>
      <c r="B538" s="3"/>
      <c r="C538" s="3"/>
      <c r="D538" s="3"/>
      <c r="E538" s="3"/>
      <c r="F538" s="3"/>
    </row>
    <row r="539">
      <c r="A539" s="1"/>
      <c r="B539" s="3"/>
      <c r="C539" s="3"/>
      <c r="D539" s="3"/>
      <c r="E539" s="3"/>
      <c r="F539" s="3"/>
    </row>
    <row r="540">
      <c r="A540" s="1"/>
      <c r="B540" s="3"/>
      <c r="C540" s="3"/>
      <c r="D540" s="3"/>
      <c r="E540" s="3"/>
      <c r="F540" s="3"/>
    </row>
    <row r="541">
      <c r="A541" s="1"/>
      <c r="B541" s="3"/>
      <c r="C541" s="3"/>
      <c r="D541" s="3"/>
      <c r="E541" s="3"/>
      <c r="F541" s="3"/>
    </row>
    <row r="542">
      <c r="A542" s="1"/>
      <c r="B542" s="3"/>
      <c r="C542" s="3"/>
      <c r="D542" s="3"/>
      <c r="E542" s="3"/>
      <c r="F542" s="3"/>
    </row>
    <row r="543">
      <c r="A543" s="1"/>
      <c r="B543" s="3"/>
      <c r="C543" s="3"/>
      <c r="D543" s="3"/>
      <c r="E543" s="3"/>
      <c r="F543" s="3"/>
    </row>
    <row r="544">
      <c r="A544" s="1"/>
      <c r="B544" s="3"/>
      <c r="C544" s="3"/>
      <c r="D544" s="3"/>
      <c r="E544" s="3"/>
      <c r="F544" s="3"/>
    </row>
    <row r="545">
      <c r="A545" s="1"/>
      <c r="B545" s="3"/>
      <c r="C545" s="3"/>
      <c r="D545" s="3"/>
      <c r="E545" s="3"/>
      <c r="F545" s="3"/>
    </row>
    <row r="546">
      <c r="A546" s="1"/>
      <c r="B546" s="3"/>
      <c r="C546" s="3"/>
      <c r="D546" s="3"/>
      <c r="E546" s="3"/>
      <c r="F546" s="3"/>
    </row>
    <row r="547">
      <c r="A547" s="1"/>
      <c r="B547" s="3"/>
      <c r="C547" s="3"/>
      <c r="D547" s="3"/>
      <c r="E547" s="3"/>
      <c r="F547" s="3"/>
    </row>
    <row r="548">
      <c r="A548" s="1"/>
      <c r="B548" s="3"/>
      <c r="C548" s="3"/>
      <c r="D548" s="3"/>
      <c r="E548" s="3"/>
      <c r="F548" s="3"/>
    </row>
    <row r="549">
      <c r="A549" s="1"/>
      <c r="B549" s="3"/>
      <c r="C549" s="3"/>
      <c r="D549" s="3"/>
      <c r="E549" s="3"/>
      <c r="F549" s="3"/>
    </row>
    <row r="550">
      <c r="A550" s="1"/>
      <c r="B550" s="3"/>
      <c r="C550" s="3"/>
      <c r="D550" s="3"/>
      <c r="E550" s="3"/>
      <c r="F550" s="3"/>
    </row>
    <row r="551">
      <c r="A551" s="1"/>
      <c r="B551" s="3"/>
      <c r="C551" s="3"/>
      <c r="D551" s="3"/>
      <c r="E551" s="3"/>
      <c r="F551" s="3"/>
    </row>
    <row r="552">
      <c r="A552" s="1"/>
      <c r="B552" s="3"/>
      <c r="C552" s="3"/>
      <c r="D552" s="3"/>
      <c r="E552" s="3"/>
      <c r="F552" s="3"/>
    </row>
    <row r="553">
      <c r="A553" s="1"/>
      <c r="B553" s="3"/>
      <c r="C553" s="3"/>
      <c r="D553" s="3"/>
      <c r="E553" s="3"/>
      <c r="F553" s="3"/>
    </row>
    <row r="554">
      <c r="A554" s="1"/>
      <c r="B554" s="3"/>
      <c r="C554" s="3"/>
      <c r="D554" s="3"/>
      <c r="E554" s="3"/>
      <c r="F554" s="3"/>
    </row>
    <row r="555">
      <c r="A555" s="1"/>
      <c r="B555" s="3"/>
      <c r="C555" s="3"/>
      <c r="D555" s="3"/>
      <c r="E555" s="3"/>
      <c r="F555" s="3"/>
    </row>
    <row r="556">
      <c r="A556" s="1"/>
      <c r="B556" s="3"/>
      <c r="C556" s="3"/>
      <c r="D556" s="3"/>
      <c r="E556" s="3"/>
      <c r="F556" s="3"/>
    </row>
    <row r="557">
      <c r="A557" s="1"/>
      <c r="B557" s="3"/>
      <c r="C557" s="3"/>
      <c r="D557" s="3"/>
      <c r="E557" s="3"/>
      <c r="F557" s="3"/>
    </row>
    <row r="558">
      <c r="A558" s="1"/>
      <c r="B558" s="3"/>
      <c r="C558" s="3"/>
      <c r="D558" s="3"/>
      <c r="E558" s="3"/>
      <c r="F558" s="3"/>
    </row>
    <row r="559">
      <c r="A559" s="1"/>
      <c r="B559" s="3"/>
      <c r="C559" s="3"/>
      <c r="D559" s="3"/>
      <c r="E559" s="3"/>
      <c r="F559" s="3"/>
    </row>
    <row r="560">
      <c r="A560" s="1"/>
      <c r="B560" s="3"/>
      <c r="C560" s="3"/>
      <c r="D560" s="3"/>
      <c r="E560" s="3"/>
      <c r="F560" s="3"/>
    </row>
    <row r="561">
      <c r="A561" s="1"/>
      <c r="B561" s="3"/>
      <c r="C561" s="3"/>
      <c r="D561" s="3"/>
      <c r="E561" s="3"/>
      <c r="F561" s="3"/>
    </row>
    <row r="562">
      <c r="A562" s="1"/>
      <c r="B562" s="3"/>
      <c r="C562" s="3"/>
      <c r="D562" s="3"/>
      <c r="E562" s="3"/>
      <c r="F562" s="3"/>
    </row>
    <row r="563">
      <c r="A563" s="1"/>
      <c r="B563" s="3"/>
      <c r="C563" s="3"/>
      <c r="D563" s="3"/>
      <c r="E563" s="3"/>
      <c r="F563" s="3"/>
    </row>
    <row r="564">
      <c r="A564" s="1"/>
      <c r="B564" s="3"/>
      <c r="C564" s="3"/>
      <c r="D564" s="3"/>
      <c r="E564" s="3"/>
      <c r="F564" s="3"/>
    </row>
    <row r="565">
      <c r="A565" s="1"/>
      <c r="B565" s="3"/>
      <c r="C565" s="3"/>
      <c r="D565" s="3"/>
      <c r="E565" s="3"/>
      <c r="F565" s="3"/>
    </row>
    <row r="566">
      <c r="A566" s="1"/>
      <c r="B566" s="3"/>
      <c r="C566" s="3"/>
      <c r="D566" s="3"/>
      <c r="E566" s="3"/>
      <c r="F566" s="3"/>
    </row>
    <row r="567">
      <c r="A567" s="1"/>
      <c r="B567" s="3"/>
      <c r="C567" s="3"/>
      <c r="D567" s="3"/>
      <c r="E567" s="3"/>
      <c r="F567" s="3"/>
    </row>
    <row r="568">
      <c r="A568" s="1"/>
      <c r="B568" s="3"/>
      <c r="C568" s="3"/>
      <c r="D568" s="3"/>
      <c r="E568" s="3"/>
      <c r="F568" s="3"/>
    </row>
    <row r="569">
      <c r="A569" s="1"/>
      <c r="B569" s="3"/>
      <c r="C569" s="3"/>
      <c r="D569" s="3"/>
      <c r="E569" s="3"/>
      <c r="F569" s="3"/>
    </row>
    <row r="570">
      <c r="A570" s="1"/>
      <c r="B570" s="3"/>
      <c r="C570" s="3"/>
      <c r="D570" s="3"/>
      <c r="E570" s="3"/>
      <c r="F570" s="3"/>
    </row>
    <row r="571">
      <c r="A571" s="1"/>
      <c r="B571" s="3"/>
      <c r="C571" s="3"/>
      <c r="D571" s="3"/>
      <c r="E571" s="3"/>
      <c r="F571" s="3"/>
    </row>
    <row r="572">
      <c r="A572" s="1"/>
      <c r="B572" s="3"/>
      <c r="C572" s="3"/>
      <c r="D572" s="3"/>
      <c r="E572" s="3"/>
      <c r="F572" s="3"/>
    </row>
    <row r="573">
      <c r="A573" s="1"/>
      <c r="B573" s="3"/>
      <c r="C573" s="3"/>
      <c r="D573" s="3"/>
      <c r="E573" s="3"/>
      <c r="F573" s="3"/>
    </row>
    <row r="574">
      <c r="A574" s="1"/>
      <c r="B574" s="3"/>
      <c r="C574" s="3"/>
      <c r="D574" s="3"/>
      <c r="E574" s="3"/>
      <c r="F574" s="3"/>
    </row>
    <row r="575">
      <c r="A575" s="1"/>
      <c r="B575" s="3"/>
      <c r="C575" s="3"/>
      <c r="D575" s="3"/>
      <c r="E575" s="3"/>
      <c r="F575" s="3"/>
    </row>
    <row r="576">
      <c r="A576" s="1"/>
      <c r="B576" s="3"/>
      <c r="C576" s="3"/>
      <c r="D576" s="3"/>
      <c r="E576" s="3"/>
      <c r="F576" s="3"/>
    </row>
    <row r="577">
      <c r="A577" s="1"/>
      <c r="B577" s="3"/>
      <c r="C577" s="3"/>
      <c r="D577" s="3"/>
      <c r="E577" s="3"/>
      <c r="F577" s="3"/>
    </row>
    <row r="578">
      <c r="A578" s="1"/>
      <c r="B578" s="3"/>
      <c r="C578" s="3"/>
      <c r="D578" s="3"/>
      <c r="E578" s="3"/>
      <c r="F578" s="3"/>
    </row>
    <row r="579">
      <c r="A579" s="1"/>
      <c r="B579" s="3"/>
      <c r="C579" s="3"/>
      <c r="D579" s="3"/>
      <c r="E579" s="3"/>
      <c r="F579" s="3"/>
    </row>
    <row r="580">
      <c r="A580" s="1"/>
      <c r="B580" s="3"/>
      <c r="C580" s="3"/>
      <c r="D580" s="3"/>
      <c r="E580" s="3"/>
      <c r="F580" s="3"/>
    </row>
    <row r="581">
      <c r="A581" s="1"/>
      <c r="B581" s="3"/>
      <c r="C581" s="3"/>
      <c r="D581" s="3"/>
      <c r="E581" s="3"/>
      <c r="F581" s="3"/>
    </row>
    <row r="582">
      <c r="A582" s="1"/>
      <c r="B582" s="3"/>
      <c r="C582" s="3"/>
      <c r="D582" s="3"/>
      <c r="E582" s="3"/>
      <c r="F582" s="3"/>
    </row>
    <row r="583">
      <c r="A583" s="1"/>
      <c r="B583" s="3"/>
      <c r="C583" s="3"/>
      <c r="D583" s="3"/>
      <c r="E583" s="3"/>
      <c r="F583" s="3"/>
    </row>
    <row r="584">
      <c r="A584" s="1"/>
      <c r="B584" s="3"/>
      <c r="C584" s="3"/>
      <c r="D584" s="3"/>
      <c r="E584" s="3"/>
      <c r="F584" s="3"/>
    </row>
    <row r="585">
      <c r="A585" s="1"/>
      <c r="B585" s="3"/>
      <c r="C585" s="3"/>
      <c r="D585" s="3"/>
      <c r="E585" s="3"/>
      <c r="F585" s="3"/>
    </row>
    <row r="586">
      <c r="A586" s="1"/>
      <c r="B586" s="3"/>
      <c r="C586" s="3"/>
      <c r="D586" s="3"/>
      <c r="E586" s="3"/>
      <c r="F586" s="3"/>
    </row>
    <row r="587">
      <c r="A587" s="1"/>
      <c r="B587" s="3"/>
      <c r="C587" s="3"/>
      <c r="D587" s="3"/>
      <c r="E587" s="3"/>
      <c r="F587" s="3"/>
    </row>
    <row r="588">
      <c r="A588" s="1"/>
      <c r="B588" s="3"/>
      <c r="C588" s="3"/>
      <c r="D588" s="3"/>
      <c r="E588" s="3"/>
      <c r="F588" s="3"/>
    </row>
    <row r="589">
      <c r="A589" s="1"/>
      <c r="B589" s="3"/>
      <c r="C589" s="3"/>
      <c r="D589" s="3"/>
      <c r="E589" s="3"/>
      <c r="F589" s="3"/>
    </row>
    <row r="590">
      <c r="A590" s="1"/>
      <c r="B590" s="3"/>
      <c r="C590" s="3"/>
      <c r="D590" s="3"/>
      <c r="E590" s="3"/>
      <c r="F590" s="3"/>
    </row>
    <row r="591">
      <c r="A591" s="1"/>
      <c r="B591" s="3"/>
      <c r="C591" s="3"/>
      <c r="D591" s="3"/>
      <c r="E591" s="3"/>
      <c r="F591" s="3"/>
    </row>
    <row r="592">
      <c r="A592" s="1"/>
      <c r="B592" s="3"/>
      <c r="C592" s="3"/>
      <c r="D592" s="3"/>
      <c r="E592" s="3"/>
      <c r="F592" s="3"/>
    </row>
    <row r="593">
      <c r="A593" s="1"/>
      <c r="B593" s="3"/>
      <c r="C593" s="3"/>
      <c r="D593" s="3"/>
      <c r="E593" s="3"/>
      <c r="F593" s="3"/>
    </row>
    <row r="594">
      <c r="A594" s="1"/>
      <c r="B594" s="3"/>
      <c r="C594" s="3"/>
      <c r="D594" s="3"/>
      <c r="E594" s="3"/>
      <c r="F594" s="3"/>
    </row>
    <row r="595">
      <c r="A595" s="1"/>
      <c r="B595" s="3"/>
      <c r="C595" s="3"/>
      <c r="D595" s="3"/>
      <c r="E595" s="3"/>
      <c r="F595" s="3"/>
    </row>
    <row r="596">
      <c r="A596" s="1"/>
      <c r="B596" s="3"/>
      <c r="C596" s="3"/>
      <c r="D596" s="3"/>
      <c r="E596" s="3"/>
      <c r="F596" s="3"/>
    </row>
    <row r="597">
      <c r="A597" s="1"/>
      <c r="B597" s="3"/>
      <c r="C597" s="3"/>
      <c r="D597" s="3"/>
      <c r="E597" s="3"/>
      <c r="F597" s="3"/>
    </row>
    <row r="598">
      <c r="A598" s="1"/>
      <c r="B598" s="3"/>
      <c r="C598" s="3"/>
      <c r="D598" s="3"/>
      <c r="E598" s="3"/>
      <c r="F598" s="3"/>
    </row>
    <row r="599">
      <c r="A599" s="1"/>
      <c r="B599" s="3"/>
      <c r="C599" s="3"/>
      <c r="D599" s="3"/>
      <c r="E599" s="3"/>
      <c r="F599" s="3"/>
    </row>
    <row r="600">
      <c r="A600" s="1"/>
      <c r="B600" s="3"/>
      <c r="C600" s="3"/>
      <c r="D600" s="3"/>
      <c r="E600" s="3"/>
      <c r="F600" s="3"/>
    </row>
    <row r="601">
      <c r="A601" s="1"/>
      <c r="B601" s="3"/>
      <c r="C601" s="3"/>
      <c r="D601" s="3"/>
      <c r="E601" s="3"/>
      <c r="F601" s="3"/>
    </row>
    <row r="602">
      <c r="A602" s="1"/>
      <c r="B602" s="3"/>
      <c r="C602" s="3"/>
      <c r="D602" s="3"/>
      <c r="E602" s="3"/>
      <c r="F602" s="3"/>
    </row>
    <row r="603">
      <c r="A603" s="1"/>
      <c r="B603" s="3"/>
      <c r="C603" s="3"/>
      <c r="D603" s="3"/>
      <c r="E603" s="3"/>
      <c r="F603" s="3"/>
    </row>
    <row r="604">
      <c r="A604" s="1"/>
      <c r="B604" s="3"/>
      <c r="C604" s="3"/>
      <c r="D604" s="3"/>
      <c r="E604" s="3"/>
      <c r="F604" s="3"/>
    </row>
    <row r="605">
      <c r="A605" s="1"/>
      <c r="B605" s="3"/>
      <c r="C605" s="3"/>
      <c r="D605" s="3"/>
      <c r="E605" s="3"/>
      <c r="F605" s="3"/>
    </row>
    <row r="606">
      <c r="A606" s="1"/>
      <c r="B606" s="3"/>
      <c r="C606" s="3"/>
      <c r="D606" s="3"/>
      <c r="E606" s="3"/>
      <c r="F606" s="3"/>
    </row>
    <row r="607">
      <c r="A607" s="1"/>
      <c r="B607" s="3"/>
      <c r="C607" s="3"/>
      <c r="D607" s="3"/>
      <c r="E607" s="3"/>
      <c r="F607" s="3"/>
    </row>
    <row r="608">
      <c r="A608" s="1"/>
      <c r="B608" s="3"/>
      <c r="C608" s="3"/>
      <c r="D608" s="3"/>
      <c r="E608" s="3"/>
      <c r="F608" s="3"/>
    </row>
    <row r="609">
      <c r="A609" s="1"/>
      <c r="B609" s="3"/>
      <c r="C609" s="3"/>
      <c r="D609" s="3"/>
      <c r="E609" s="3"/>
      <c r="F609" s="3"/>
    </row>
    <row r="610">
      <c r="A610" s="1"/>
      <c r="B610" s="3"/>
      <c r="C610" s="3"/>
      <c r="D610" s="3"/>
      <c r="E610" s="3"/>
      <c r="F610" s="3"/>
    </row>
    <row r="611">
      <c r="A611" s="1"/>
      <c r="B611" s="3"/>
      <c r="C611" s="3"/>
      <c r="D611" s="3"/>
      <c r="E611" s="3"/>
      <c r="F611" s="3"/>
    </row>
    <row r="612">
      <c r="A612" s="1"/>
      <c r="B612" s="3"/>
      <c r="C612" s="3"/>
      <c r="D612" s="3"/>
      <c r="E612" s="3"/>
      <c r="F612" s="3"/>
    </row>
    <row r="613">
      <c r="A613" s="1"/>
      <c r="B613" s="3"/>
      <c r="C613" s="3"/>
      <c r="D613" s="3"/>
      <c r="E613" s="3"/>
      <c r="F613" s="3"/>
    </row>
    <row r="614">
      <c r="A614" s="1"/>
      <c r="B614" s="3"/>
      <c r="C614" s="3"/>
      <c r="D614" s="3"/>
      <c r="E614" s="3"/>
      <c r="F614" s="3"/>
    </row>
    <row r="615">
      <c r="A615" s="1"/>
      <c r="B615" s="3"/>
      <c r="C615" s="3"/>
      <c r="D615" s="3"/>
      <c r="E615" s="3"/>
      <c r="F615" s="3"/>
    </row>
    <row r="616">
      <c r="A616" s="1"/>
      <c r="B616" s="3"/>
      <c r="C616" s="3"/>
      <c r="D616" s="3"/>
      <c r="E616" s="3"/>
      <c r="F616" s="3"/>
    </row>
    <row r="617">
      <c r="A617" s="1"/>
      <c r="B617" s="3"/>
      <c r="C617" s="3"/>
      <c r="D617" s="3"/>
      <c r="E617" s="3"/>
      <c r="F617" s="3"/>
    </row>
    <row r="618">
      <c r="A618" s="1"/>
      <c r="B618" s="3"/>
      <c r="C618" s="3"/>
      <c r="D618" s="3"/>
      <c r="E618" s="3"/>
      <c r="F618" s="3"/>
    </row>
    <row r="619">
      <c r="A619" s="1"/>
      <c r="B619" s="3"/>
      <c r="C619" s="3"/>
      <c r="D619" s="3"/>
      <c r="E619" s="3"/>
      <c r="F619" s="3"/>
    </row>
    <row r="620">
      <c r="A620" s="1"/>
      <c r="B620" s="3"/>
      <c r="C620" s="3"/>
      <c r="D620" s="3"/>
      <c r="E620" s="3"/>
      <c r="F620" s="3"/>
    </row>
    <row r="621">
      <c r="A621" s="1"/>
      <c r="B621" s="3"/>
      <c r="C621" s="3"/>
      <c r="D621" s="3"/>
      <c r="E621" s="3"/>
      <c r="F621" s="3"/>
    </row>
    <row r="622">
      <c r="A622" s="1"/>
      <c r="B622" s="3"/>
      <c r="C622" s="3"/>
      <c r="D622" s="3"/>
      <c r="E622" s="3"/>
      <c r="F622" s="3"/>
    </row>
    <row r="623">
      <c r="A623" s="1"/>
      <c r="B623" s="3"/>
      <c r="C623" s="3"/>
      <c r="D623" s="3"/>
      <c r="E623" s="3"/>
      <c r="F623" s="3"/>
    </row>
    <row r="624">
      <c r="A624" s="1"/>
      <c r="B624" s="3"/>
      <c r="C624" s="3"/>
      <c r="D624" s="3"/>
      <c r="E624" s="3"/>
      <c r="F624" s="3"/>
    </row>
    <row r="625">
      <c r="A625" s="1"/>
      <c r="B625" s="3"/>
      <c r="C625" s="3"/>
      <c r="D625" s="3"/>
      <c r="E625" s="3"/>
      <c r="F625" s="3"/>
    </row>
    <row r="626">
      <c r="A626" s="1"/>
      <c r="B626" s="3"/>
      <c r="C626" s="3"/>
      <c r="D626" s="3"/>
      <c r="E626" s="3"/>
      <c r="F626" s="3"/>
    </row>
    <row r="627">
      <c r="A627" s="1"/>
      <c r="B627" s="3"/>
      <c r="C627" s="3"/>
      <c r="D627" s="3"/>
      <c r="E627" s="3"/>
      <c r="F627" s="3"/>
    </row>
    <row r="628">
      <c r="A628" s="1"/>
      <c r="B628" s="3"/>
      <c r="C628" s="3"/>
      <c r="D628" s="3"/>
      <c r="E628" s="3"/>
      <c r="F628" s="3"/>
    </row>
    <row r="629">
      <c r="A629" s="1"/>
      <c r="B629" s="3"/>
      <c r="C629" s="3"/>
      <c r="D629" s="3"/>
      <c r="E629" s="3"/>
      <c r="F629" s="3"/>
    </row>
    <row r="630">
      <c r="A630" s="1"/>
      <c r="B630" s="3"/>
      <c r="C630" s="3"/>
      <c r="D630" s="3"/>
      <c r="E630" s="3"/>
      <c r="F630" s="3"/>
    </row>
    <row r="631">
      <c r="A631" s="1"/>
      <c r="B631" s="3"/>
      <c r="C631" s="3"/>
      <c r="D631" s="3"/>
      <c r="E631" s="3"/>
      <c r="F631" s="3"/>
    </row>
    <row r="632">
      <c r="A632" s="1"/>
      <c r="B632" s="3"/>
      <c r="C632" s="3"/>
      <c r="D632" s="3"/>
      <c r="E632" s="3"/>
      <c r="F632" s="3"/>
    </row>
    <row r="633">
      <c r="A633" s="1"/>
      <c r="B633" s="3"/>
      <c r="C633" s="3"/>
      <c r="D633" s="3"/>
      <c r="E633" s="3"/>
      <c r="F633" s="3"/>
    </row>
    <row r="634">
      <c r="A634" s="1"/>
      <c r="B634" s="3"/>
      <c r="C634" s="3"/>
      <c r="D634" s="3"/>
      <c r="E634" s="3"/>
      <c r="F634" s="3"/>
    </row>
    <row r="635">
      <c r="A635" s="1"/>
      <c r="B635" s="3"/>
      <c r="C635" s="3"/>
      <c r="D635" s="3"/>
      <c r="E635" s="3"/>
      <c r="F635" s="3"/>
    </row>
    <row r="636">
      <c r="A636" s="1"/>
      <c r="B636" s="3"/>
      <c r="C636" s="3"/>
      <c r="D636" s="3"/>
      <c r="E636" s="3"/>
      <c r="F636" s="3"/>
    </row>
    <row r="637">
      <c r="A637" s="1"/>
      <c r="B637" s="3"/>
      <c r="C637" s="3"/>
      <c r="D637" s="3"/>
      <c r="E637" s="3"/>
      <c r="F637" s="3"/>
    </row>
    <row r="638">
      <c r="A638" s="1"/>
      <c r="B638" s="3"/>
      <c r="C638" s="3"/>
      <c r="D638" s="3"/>
      <c r="E638" s="3"/>
      <c r="F638" s="3"/>
    </row>
    <row r="639">
      <c r="A639" s="1"/>
      <c r="B639" s="3"/>
      <c r="C639" s="3"/>
      <c r="D639" s="3"/>
      <c r="E639" s="3"/>
      <c r="F639" s="3"/>
    </row>
    <row r="640">
      <c r="A640" s="1"/>
      <c r="B640" s="3"/>
      <c r="C640" s="3"/>
      <c r="D640" s="3"/>
      <c r="E640" s="3"/>
      <c r="F640" s="3"/>
    </row>
    <row r="641">
      <c r="A641" s="1"/>
      <c r="B641" s="3"/>
      <c r="C641" s="3"/>
      <c r="D641" s="3"/>
      <c r="E641" s="3"/>
      <c r="F641" s="3"/>
    </row>
    <row r="642">
      <c r="A642" s="1"/>
      <c r="B642" s="3"/>
      <c r="C642" s="3"/>
      <c r="D642" s="3"/>
      <c r="E642" s="3"/>
      <c r="F642" s="3"/>
    </row>
    <row r="643">
      <c r="A643" s="1"/>
      <c r="B643" s="3"/>
      <c r="C643" s="3"/>
      <c r="D643" s="3"/>
      <c r="E643" s="3"/>
      <c r="F643" s="3"/>
    </row>
    <row r="644">
      <c r="A644" s="1"/>
      <c r="B644" s="3"/>
      <c r="C644" s="3"/>
      <c r="D644" s="3"/>
      <c r="E644" s="3"/>
      <c r="F644" s="3"/>
    </row>
    <row r="645">
      <c r="A645" s="1"/>
      <c r="B645" s="3"/>
      <c r="C645" s="3"/>
      <c r="D645" s="3"/>
      <c r="E645" s="3"/>
      <c r="F645" s="3"/>
    </row>
    <row r="646">
      <c r="A646" s="1"/>
      <c r="B646" s="3"/>
      <c r="C646" s="3"/>
      <c r="D646" s="3"/>
      <c r="E646" s="3"/>
      <c r="F646" s="3"/>
    </row>
    <row r="647">
      <c r="A647" s="1"/>
      <c r="B647" s="3"/>
      <c r="C647" s="3"/>
      <c r="D647" s="3"/>
      <c r="E647" s="3"/>
      <c r="F647" s="3"/>
    </row>
    <row r="648">
      <c r="A648" s="1"/>
      <c r="B648" s="3"/>
      <c r="C648" s="3"/>
      <c r="D648" s="3"/>
      <c r="E648" s="3"/>
      <c r="F648" s="3"/>
    </row>
    <row r="649">
      <c r="A649" s="1"/>
      <c r="B649" s="3"/>
      <c r="C649" s="3"/>
      <c r="D649" s="3"/>
      <c r="E649" s="3"/>
      <c r="F649" s="3"/>
    </row>
    <row r="650">
      <c r="A650" s="1"/>
      <c r="B650" s="3"/>
      <c r="C650" s="3"/>
      <c r="D650" s="3"/>
      <c r="E650" s="3"/>
      <c r="F650" s="3"/>
    </row>
    <row r="651">
      <c r="A651" s="1"/>
      <c r="B651" s="3"/>
      <c r="C651" s="3"/>
      <c r="D651" s="3"/>
      <c r="E651" s="3"/>
      <c r="F651" s="3"/>
    </row>
    <row r="652">
      <c r="A652" s="1"/>
      <c r="B652" s="3"/>
      <c r="C652" s="3"/>
      <c r="D652" s="3"/>
      <c r="E652" s="3"/>
      <c r="F652" s="3"/>
    </row>
    <row r="653">
      <c r="A653" s="1"/>
      <c r="B653" s="3"/>
      <c r="C653" s="3"/>
      <c r="D653" s="3"/>
      <c r="E653" s="3"/>
      <c r="F653" s="3"/>
    </row>
    <row r="654">
      <c r="A654" s="1"/>
      <c r="B654" s="3"/>
      <c r="C654" s="3"/>
      <c r="D654" s="3"/>
      <c r="E654" s="3"/>
      <c r="F654" s="3"/>
    </row>
    <row r="655">
      <c r="A655" s="1"/>
      <c r="B655" s="3"/>
      <c r="C655" s="3"/>
      <c r="D655" s="3"/>
      <c r="E655" s="3"/>
      <c r="F655" s="3"/>
    </row>
    <row r="656">
      <c r="A656" s="1"/>
      <c r="B656" s="3"/>
      <c r="C656" s="3"/>
      <c r="D656" s="3"/>
      <c r="E656" s="3"/>
      <c r="F656" s="3"/>
    </row>
    <row r="657">
      <c r="A657" s="1"/>
      <c r="B657" s="3"/>
      <c r="C657" s="3"/>
      <c r="D657" s="3"/>
      <c r="E657" s="3"/>
      <c r="F657" s="3"/>
    </row>
    <row r="658">
      <c r="A658" s="1"/>
      <c r="B658" s="3"/>
      <c r="C658" s="3"/>
      <c r="D658" s="3"/>
      <c r="E658" s="3"/>
      <c r="F658" s="3"/>
    </row>
    <row r="659">
      <c r="A659" s="1"/>
      <c r="B659" s="3"/>
      <c r="C659" s="3"/>
      <c r="D659" s="3"/>
      <c r="E659" s="3"/>
      <c r="F659" s="3"/>
    </row>
    <row r="660">
      <c r="A660" s="1"/>
      <c r="B660" s="3"/>
      <c r="C660" s="3"/>
      <c r="D660" s="3"/>
      <c r="E660" s="3"/>
      <c r="F660" s="3"/>
    </row>
    <row r="661">
      <c r="A661" s="1"/>
      <c r="B661" s="3"/>
      <c r="C661" s="3"/>
      <c r="D661" s="3"/>
      <c r="E661" s="3"/>
      <c r="F661" s="3"/>
    </row>
    <row r="662">
      <c r="A662" s="1"/>
      <c r="B662" s="3"/>
      <c r="C662" s="3"/>
      <c r="D662" s="3"/>
      <c r="E662" s="3"/>
      <c r="F662" s="3"/>
    </row>
    <row r="663">
      <c r="A663" s="1"/>
      <c r="B663" s="3"/>
      <c r="C663" s="3"/>
      <c r="D663" s="3"/>
      <c r="E663" s="3"/>
      <c r="F663" s="3"/>
    </row>
    <row r="664">
      <c r="A664" s="1"/>
      <c r="B664" s="3"/>
      <c r="C664" s="3"/>
      <c r="D664" s="3"/>
      <c r="E664" s="3"/>
      <c r="F664" s="3"/>
    </row>
    <row r="665">
      <c r="A665" s="1"/>
      <c r="B665" s="3"/>
      <c r="C665" s="3"/>
      <c r="D665" s="3"/>
      <c r="E665" s="3"/>
      <c r="F665" s="3"/>
    </row>
    <row r="666">
      <c r="A666" s="1"/>
      <c r="B666" s="3"/>
      <c r="C666" s="3"/>
      <c r="D666" s="3"/>
      <c r="E666" s="3"/>
      <c r="F666" s="3"/>
    </row>
    <row r="667">
      <c r="A667" s="1"/>
      <c r="B667" s="3"/>
      <c r="C667" s="3"/>
      <c r="D667" s="3"/>
      <c r="E667" s="3"/>
      <c r="F667" s="3"/>
    </row>
    <row r="668">
      <c r="A668" s="1"/>
      <c r="B668" s="3"/>
      <c r="C668" s="3"/>
      <c r="D668" s="3"/>
      <c r="E668" s="3"/>
      <c r="F668" s="3"/>
    </row>
    <row r="669">
      <c r="A669" s="1"/>
      <c r="B669" s="3"/>
      <c r="C669" s="3"/>
      <c r="D669" s="3"/>
      <c r="E669" s="3"/>
      <c r="F669" s="3"/>
    </row>
    <row r="670">
      <c r="A670" s="1"/>
      <c r="B670" s="3"/>
      <c r="C670" s="3"/>
      <c r="D670" s="3"/>
      <c r="E670" s="3"/>
      <c r="F670" s="3"/>
    </row>
    <row r="671">
      <c r="A671" s="1"/>
      <c r="B671" s="3"/>
      <c r="C671" s="3"/>
      <c r="D671" s="3"/>
      <c r="E671" s="3"/>
      <c r="F671" s="3"/>
    </row>
    <row r="672">
      <c r="A672" s="1"/>
      <c r="B672" s="3"/>
      <c r="C672" s="3"/>
      <c r="D672" s="3"/>
      <c r="E672" s="3"/>
      <c r="F672" s="3"/>
    </row>
    <row r="673">
      <c r="A673" s="1"/>
      <c r="B673" s="3"/>
      <c r="C673" s="3"/>
      <c r="D673" s="3"/>
      <c r="E673" s="3"/>
      <c r="F673" s="3"/>
    </row>
    <row r="674">
      <c r="A674" s="1"/>
      <c r="B674" s="3"/>
      <c r="C674" s="3"/>
      <c r="D674" s="3"/>
      <c r="E674" s="3"/>
      <c r="F674" s="3"/>
    </row>
    <row r="675">
      <c r="A675" s="1"/>
      <c r="B675" s="3"/>
      <c r="C675" s="3"/>
      <c r="D675" s="3"/>
      <c r="E675" s="3"/>
      <c r="F675" s="3"/>
    </row>
    <row r="676">
      <c r="A676" s="1"/>
      <c r="B676" s="3"/>
      <c r="C676" s="3"/>
      <c r="D676" s="3"/>
      <c r="E676" s="3"/>
      <c r="F676" s="3"/>
    </row>
    <row r="677">
      <c r="A677" s="1"/>
      <c r="B677" s="3"/>
      <c r="C677" s="3"/>
      <c r="D677" s="3"/>
      <c r="E677" s="3"/>
      <c r="F677" s="3"/>
    </row>
    <row r="678">
      <c r="A678" s="1"/>
      <c r="B678" s="3"/>
      <c r="C678" s="3"/>
      <c r="D678" s="3"/>
      <c r="E678" s="3"/>
      <c r="F678" s="3"/>
    </row>
    <row r="679">
      <c r="A679" s="1"/>
      <c r="B679" s="3"/>
      <c r="C679" s="3"/>
      <c r="D679" s="3"/>
      <c r="E679" s="3"/>
      <c r="F679" s="3"/>
    </row>
    <row r="680">
      <c r="A680" s="1"/>
      <c r="B680" s="3"/>
      <c r="C680" s="3"/>
      <c r="D680" s="3"/>
      <c r="E680" s="3"/>
      <c r="F680" s="3"/>
    </row>
    <row r="681">
      <c r="A681" s="1"/>
      <c r="B681" s="3"/>
      <c r="C681" s="3"/>
      <c r="D681" s="3"/>
      <c r="E681" s="3"/>
      <c r="F681" s="3"/>
    </row>
    <row r="682">
      <c r="A682" s="1"/>
      <c r="B682" s="3"/>
      <c r="C682" s="3"/>
      <c r="D682" s="3"/>
      <c r="E682" s="3"/>
      <c r="F682" s="3"/>
    </row>
    <row r="683">
      <c r="A683" s="1"/>
      <c r="B683" s="3"/>
      <c r="C683" s="3"/>
      <c r="D683" s="3"/>
      <c r="E683" s="3"/>
      <c r="F683" s="3"/>
    </row>
    <row r="684">
      <c r="A684" s="1"/>
      <c r="B684" s="3"/>
      <c r="C684" s="3"/>
      <c r="D684" s="3"/>
      <c r="E684" s="3"/>
      <c r="F684" s="3"/>
    </row>
    <row r="685">
      <c r="A685" s="1"/>
      <c r="B685" s="3"/>
      <c r="C685" s="3"/>
      <c r="D685" s="3"/>
      <c r="E685" s="3"/>
      <c r="F685" s="3"/>
    </row>
    <row r="686">
      <c r="A686" s="1"/>
      <c r="B686" s="3"/>
      <c r="C686" s="3"/>
      <c r="D686" s="3"/>
      <c r="E686" s="3"/>
      <c r="F686" s="3"/>
    </row>
    <row r="687">
      <c r="A687" s="1"/>
      <c r="B687" s="3"/>
      <c r="C687" s="3"/>
      <c r="D687" s="3"/>
      <c r="E687" s="3"/>
      <c r="F687" s="3"/>
    </row>
    <row r="688">
      <c r="A688" s="1"/>
      <c r="B688" s="3"/>
      <c r="C688" s="3"/>
      <c r="D688" s="3"/>
      <c r="E688" s="3"/>
      <c r="F688" s="3"/>
    </row>
    <row r="689">
      <c r="A689" s="1"/>
      <c r="B689" s="3"/>
      <c r="C689" s="3"/>
      <c r="D689" s="3"/>
      <c r="E689" s="3"/>
      <c r="F689" s="3"/>
    </row>
    <row r="690">
      <c r="A690" s="1"/>
      <c r="B690" s="3"/>
      <c r="C690" s="3"/>
      <c r="D690" s="3"/>
      <c r="E690" s="3"/>
      <c r="F690" s="3"/>
    </row>
    <row r="691">
      <c r="A691" s="1"/>
      <c r="B691" s="3"/>
      <c r="C691" s="3"/>
      <c r="D691" s="3"/>
      <c r="E691" s="3"/>
      <c r="F691" s="3"/>
    </row>
    <row r="692">
      <c r="A692" s="1"/>
      <c r="B692" s="3"/>
      <c r="C692" s="3"/>
      <c r="D692" s="3"/>
      <c r="E692" s="3"/>
      <c r="F692" s="3"/>
    </row>
    <row r="693">
      <c r="A693" s="1"/>
      <c r="B693" s="3"/>
      <c r="C693" s="3"/>
      <c r="D693" s="3"/>
      <c r="E693" s="3"/>
      <c r="F693" s="3"/>
    </row>
    <row r="694">
      <c r="A694" s="1"/>
      <c r="B694" s="3"/>
      <c r="C694" s="3"/>
      <c r="D694" s="3"/>
      <c r="E694" s="3"/>
      <c r="F694" s="3"/>
    </row>
    <row r="695">
      <c r="A695" s="1"/>
      <c r="B695" s="3"/>
      <c r="C695" s="3"/>
      <c r="D695" s="3"/>
      <c r="E695" s="3"/>
      <c r="F695" s="3"/>
    </row>
    <row r="696">
      <c r="A696" s="1"/>
      <c r="B696" s="3"/>
      <c r="C696" s="3"/>
      <c r="D696" s="3"/>
      <c r="E696" s="3"/>
      <c r="F696" s="3"/>
    </row>
    <row r="697">
      <c r="A697" s="1"/>
      <c r="B697" s="3"/>
      <c r="C697" s="3"/>
      <c r="D697" s="3"/>
      <c r="E697" s="3"/>
      <c r="F697" s="3"/>
    </row>
    <row r="698">
      <c r="A698" s="1"/>
      <c r="B698" s="3"/>
      <c r="C698" s="3"/>
      <c r="D698" s="3"/>
      <c r="E698" s="3"/>
      <c r="F698" s="3"/>
    </row>
    <row r="699">
      <c r="A699" s="1"/>
      <c r="B699" s="3"/>
      <c r="C699" s="3"/>
      <c r="D699" s="3"/>
      <c r="E699" s="3"/>
      <c r="F699" s="3"/>
    </row>
    <row r="700">
      <c r="A700" s="1"/>
      <c r="B700" s="3"/>
      <c r="C700" s="3"/>
      <c r="D700" s="3"/>
      <c r="E700" s="3"/>
      <c r="F700" s="3"/>
    </row>
    <row r="701">
      <c r="A701" s="1"/>
      <c r="B701" s="3"/>
      <c r="C701" s="3"/>
      <c r="D701" s="3"/>
      <c r="E701" s="3"/>
      <c r="F701" s="3"/>
    </row>
    <row r="702">
      <c r="A702" s="1"/>
      <c r="B702" s="3"/>
      <c r="C702" s="3"/>
      <c r="D702" s="3"/>
      <c r="E702" s="3"/>
      <c r="F702" s="3"/>
    </row>
    <row r="703">
      <c r="A703" s="1"/>
      <c r="B703" s="3"/>
      <c r="C703" s="3"/>
      <c r="D703" s="3"/>
      <c r="E703" s="3"/>
      <c r="F703" s="3"/>
    </row>
    <row r="704">
      <c r="A704" s="1"/>
      <c r="B704" s="3"/>
      <c r="C704" s="3"/>
      <c r="D704" s="3"/>
      <c r="E704" s="3"/>
      <c r="F704" s="3"/>
    </row>
    <row r="705">
      <c r="A705" s="1"/>
      <c r="B705" s="3"/>
      <c r="C705" s="3"/>
      <c r="D705" s="3"/>
      <c r="E705" s="3"/>
      <c r="F705" s="3"/>
    </row>
    <row r="706">
      <c r="A706" s="1"/>
      <c r="B706" s="3"/>
      <c r="C706" s="3"/>
      <c r="D706" s="3"/>
      <c r="E706" s="3"/>
      <c r="F706" s="3"/>
    </row>
    <row r="707">
      <c r="A707" s="1"/>
      <c r="B707" s="3"/>
      <c r="C707" s="3"/>
      <c r="D707" s="3"/>
      <c r="E707" s="3"/>
      <c r="F707" s="3"/>
    </row>
    <row r="708">
      <c r="A708" s="1"/>
      <c r="B708" s="3"/>
      <c r="C708" s="3"/>
      <c r="D708" s="3"/>
      <c r="E708" s="3"/>
      <c r="F708" s="3"/>
    </row>
    <row r="709">
      <c r="A709" s="1"/>
      <c r="B709" s="3"/>
      <c r="C709" s="3"/>
      <c r="D709" s="3"/>
      <c r="E709" s="3"/>
      <c r="F709" s="3"/>
    </row>
    <row r="710">
      <c r="A710" s="1"/>
      <c r="B710" s="3"/>
      <c r="C710" s="3"/>
      <c r="D710" s="3"/>
      <c r="E710" s="3"/>
      <c r="F710" s="3"/>
    </row>
    <row r="711">
      <c r="A711" s="1"/>
      <c r="B711" s="3"/>
      <c r="C711" s="3"/>
      <c r="D711" s="3"/>
      <c r="E711" s="3"/>
      <c r="F711" s="3"/>
    </row>
    <row r="712">
      <c r="A712" s="1"/>
      <c r="B712" s="3"/>
      <c r="C712" s="3"/>
      <c r="D712" s="3"/>
      <c r="E712" s="3"/>
      <c r="F712" s="3"/>
    </row>
    <row r="713">
      <c r="A713" s="1"/>
      <c r="B713" s="3"/>
      <c r="C713" s="3"/>
      <c r="D713" s="3"/>
      <c r="E713" s="3"/>
      <c r="F713" s="3"/>
    </row>
    <row r="714">
      <c r="A714" s="1"/>
      <c r="B714" s="3"/>
      <c r="C714" s="3"/>
      <c r="D714" s="3"/>
      <c r="E714" s="3"/>
      <c r="F714" s="3"/>
    </row>
    <row r="715">
      <c r="A715" s="1"/>
      <c r="B715" s="3"/>
      <c r="C715" s="3"/>
      <c r="D715" s="3"/>
      <c r="E715" s="3"/>
      <c r="F715" s="3"/>
    </row>
    <row r="716">
      <c r="A716" s="1"/>
      <c r="B716" s="3"/>
      <c r="C716" s="3"/>
      <c r="D716" s="3"/>
      <c r="E716" s="3"/>
      <c r="F716" s="3"/>
    </row>
    <row r="717">
      <c r="A717" s="1"/>
      <c r="B717" s="3"/>
      <c r="C717" s="3"/>
      <c r="D717" s="3"/>
      <c r="E717" s="3"/>
      <c r="F717" s="3"/>
    </row>
    <row r="718">
      <c r="A718" s="1"/>
      <c r="B718" s="3"/>
      <c r="C718" s="3"/>
      <c r="D718" s="3"/>
      <c r="E718" s="3"/>
      <c r="F718" s="3"/>
    </row>
    <row r="719">
      <c r="A719" s="1"/>
      <c r="B719" s="3"/>
      <c r="C719" s="3"/>
      <c r="D719" s="3"/>
      <c r="E719" s="3"/>
      <c r="F719" s="3"/>
    </row>
    <row r="720">
      <c r="A720" s="1"/>
      <c r="B720" s="3"/>
      <c r="C720" s="3"/>
      <c r="D720" s="3"/>
      <c r="E720" s="3"/>
      <c r="F720" s="3"/>
    </row>
    <row r="721">
      <c r="A721" s="1"/>
      <c r="B721" s="3"/>
      <c r="C721" s="3"/>
      <c r="D721" s="3"/>
      <c r="E721" s="3"/>
      <c r="F721" s="3"/>
    </row>
    <row r="722">
      <c r="A722" s="1"/>
      <c r="B722" s="3"/>
      <c r="C722" s="3"/>
      <c r="D722" s="3"/>
      <c r="E722" s="3"/>
      <c r="F722" s="3"/>
    </row>
    <row r="723">
      <c r="A723" s="1"/>
      <c r="B723" s="3"/>
      <c r="C723" s="3"/>
      <c r="D723" s="3"/>
      <c r="E723" s="3"/>
      <c r="F723" s="3"/>
    </row>
    <row r="724">
      <c r="A724" s="1"/>
      <c r="B724" s="3"/>
      <c r="C724" s="3"/>
      <c r="D724" s="3"/>
      <c r="E724" s="3"/>
      <c r="F724" s="3"/>
    </row>
    <row r="725">
      <c r="A725" s="1"/>
      <c r="B725" s="3"/>
      <c r="C725" s="3"/>
      <c r="D725" s="3"/>
      <c r="E725" s="3"/>
      <c r="F725" s="3"/>
    </row>
    <row r="726">
      <c r="A726" s="1"/>
      <c r="B726" s="3"/>
      <c r="C726" s="3"/>
      <c r="D726" s="3"/>
      <c r="E726" s="3"/>
      <c r="F726" s="3"/>
    </row>
    <row r="727">
      <c r="A727" s="1"/>
      <c r="B727" s="3"/>
      <c r="C727" s="3"/>
      <c r="D727" s="3"/>
      <c r="E727" s="3"/>
      <c r="F727" s="3"/>
    </row>
    <row r="728">
      <c r="A728" s="1"/>
      <c r="B728" s="3"/>
      <c r="C728" s="3"/>
      <c r="D728" s="3"/>
      <c r="E728" s="3"/>
      <c r="F728" s="3"/>
    </row>
    <row r="729">
      <c r="A729" s="1"/>
      <c r="B729" s="3"/>
      <c r="C729" s="3"/>
      <c r="D729" s="3"/>
      <c r="E729" s="3"/>
      <c r="F729" s="3"/>
    </row>
    <row r="730">
      <c r="A730" s="1"/>
      <c r="B730" s="3"/>
      <c r="C730" s="3"/>
      <c r="D730" s="3"/>
      <c r="E730" s="3"/>
      <c r="F730" s="3"/>
    </row>
    <row r="731">
      <c r="A731" s="1"/>
      <c r="B731" s="3"/>
      <c r="C731" s="3"/>
      <c r="D731" s="3"/>
      <c r="E731" s="3"/>
      <c r="F731" s="3"/>
    </row>
    <row r="732">
      <c r="A732" s="1"/>
      <c r="B732" s="3"/>
      <c r="C732" s="3"/>
      <c r="D732" s="3"/>
      <c r="E732" s="3"/>
      <c r="F732" s="3"/>
    </row>
    <row r="733">
      <c r="A733" s="1"/>
      <c r="B733" s="3"/>
      <c r="C733" s="3"/>
      <c r="D733" s="3"/>
      <c r="E733" s="3"/>
      <c r="F733" s="3"/>
    </row>
    <row r="734">
      <c r="A734" s="1"/>
      <c r="B734" s="3"/>
      <c r="C734" s="3"/>
      <c r="D734" s="3"/>
      <c r="E734" s="3"/>
      <c r="F734" s="3"/>
    </row>
    <row r="735">
      <c r="A735" s="1"/>
      <c r="B735" s="3"/>
      <c r="C735" s="3"/>
      <c r="D735" s="3"/>
      <c r="E735" s="3"/>
      <c r="F735" s="3"/>
    </row>
    <row r="736">
      <c r="A736" s="1"/>
      <c r="B736" s="3"/>
      <c r="C736" s="3"/>
      <c r="D736" s="3"/>
      <c r="E736" s="3"/>
      <c r="F736" s="3"/>
    </row>
    <row r="737">
      <c r="A737" s="1"/>
      <c r="B737" s="3"/>
      <c r="C737" s="3"/>
      <c r="D737" s="3"/>
      <c r="E737" s="3"/>
      <c r="F737" s="3"/>
    </row>
    <row r="738">
      <c r="A738" s="1"/>
      <c r="B738" s="3"/>
      <c r="C738" s="3"/>
      <c r="D738" s="3"/>
      <c r="E738" s="3"/>
      <c r="F738" s="3"/>
    </row>
    <row r="739">
      <c r="A739" s="1"/>
      <c r="B739" s="3"/>
      <c r="C739" s="3"/>
      <c r="D739" s="3"/>
      <c r="E739" s="3"/>
      <c r="F739" s="3"/>
    </row>
    <row r="740">
      <c r="A740" s="1"/>
      <c r="B740" s="3"/>
      <c r="C740" s="3"/>
      <c r="D740" s="3"/>
      <c r="E740" s="3"/>
      <c r="F740" s="3"/>
    </row>
    <row r="741">
      <c r="A741" s="1"/>
      <c r="B741" s="3"/>
      <c r="C741" s="3"/>
      <c r="D741" s="3"/>
      <c r="E741" s="3"/>
      <c r="F741" s="3"/>
    </row>
    <row r="742">
      <c r="A742" s="1"/>
      <c r="B742" s="3"/>
      <c r="C742" s="3"/>
      <c r="D742" s="3"/>
      <c r="E742" s="3"/>
      <c r="F742" s="3"/>
    </row>
    <row r="743">
      <c r="A743" s="1"/>
      <c r="B743" s="3"/>
      <c r="C743" s="3"/>
      <c r="D743" s="3"/>
      <c r="E743" s="3"/>
      <c r="F743" s="3"/>
    </row>
    <row r="744">
      <c r="A744" s="1"/>
      <c r="B744" s="3"/>
      <c r="C744" s="3"/>
      <c r="D744" s="3"/>
      <c r="E744" s="3"/>
      <c r="F744" s="3"/>
    </row>
    <row r="745">
      <c r="A745" s="1"/>
      <c r="B745" s="3"/>
      <c r="C745" s="3"/>
      <c r="D745" s="3"/>
      <c r="E745" s="3"/>
      <c r="F745" s="3"/>
    </row>
    <row r="746">
      <c r="A746" s="1"/>
      <c r="B746" s="3"/>
      <c r="C746" s="3"/>
      <c r="D746" s="3"/>
      <c r="E746" s="3"/>
      <c r="F746" s="3"/>
    </row>
    <row r="747">
      <c r="A747" s="1"/>
      <c r="B747" s="3"/>
      <c r="C747" s="3"/>
      <c r="D747" s="3"/>
      <c r="E747" s="3"/>
      <c r="F747" s="3"/>
    </row>
    <row r="748">
      <c r="A748" s="1"/>
      <c r="B748" s="3"/>
      <c r="C748" s="3"/>
      <c r="D748" s="3"/>
      <c r="E748" s="3"/>
      <c r="F748" s="3"/>
    </row>
    <row r="749">
      <c r="A749" s="1"/>
      <c r="B749" s="3"/>
      <c r="C749" s="3"/>
      <c r="D749" s="3"/>
      <c r="E749" s="3"/>
      <c r="F749" s="3"/>
    </row>
    <row r="750">
      <c r="A750" s="1"/>
      <c r="B750" s="3"/>
      <c r="C750" s="3"/>
      <c r="D750" s="3"/>
      <c r="E750" s="3"/>
      <c r="F750" s="3"/>
    </row>
    <row r="751">
      <c r="A751" s="1"/>
      <c r="B751" s="3"/>
      <c r="C751" s="3"/>
      <c r="D751" s="3"/>
      <c r="E751" s="3"/>
      <c r="F751" s="3"/>
    </row>
    <row r="752">
      <c r="A752" s="1"/>
      <c r="B752" s="3"/>
      <c r="C752" s="3"/>
      <c r="D752" s="3"/>
      <c r="E752" s="3"/>
      <c r="F752" s="3"/>
    </row>
    <row r="753">
      <c r="A753" s="1"/>
      <c r="B753" s="3"/>
      <c r="C753" s="3"/>
      <c r="D753" s="3"/>
      <c r="E753" s="3"/>
      <c r="F753" s="3"/>
    </row>
    <row r="754">
      <c r="A754" s="1"/>
      <c r="B754" s="3"/>
      <c r="C754" s="3"/>
      <c r="D754" s="3"/>
      <c r="E754" s="3"/>
      <c r="F754" s="3"/>
    </row>
    <row r="755">
      <c r="A755" s="1"/>
      <c r="B755" s="3"/>
      <c r="C755" s="3"/>
      <c r="D755" s="3"/>
      <c r="E755" s="3"/>
      <c r="F755" s="3"/>
    </row>
    <row r="756">
      <c r="A756" s="1"/>
      <c r="B756" s="3"/>
      <c r="C756" s="3"/>
      <c r="D756" s="3"/>
      <c r="E756" s="3"/>
      <c r="F756" s="3"/>
    </row>
    <row r="757">
      <c r="A757" s="1"/>
      <c r="B757" s="3"/>
      <c r="C757" s="3"/>
      <c r="D757" s="3"/>
      <c r="E757" s="3"/>
      <c r="F757" s="3"/>
    </row>
    <row r="758">
      <c r="A758" s="1"/>
      <c r="B758" s="3"/>
      <c r="C758" s="3"/>
      <c r="D758" s="3"/>
      <c r="E758" s="3"/>
      <c r="F758" s="3"/>
    </row>
    <row r="759">
      <c r="A759" s="1"/>
      <c r="B759" s="3"/>
      <c r="C759" s="3"/>
      <c r="D759" s="3"/>
      <c r="E759" s="3"/>
      <c r="F759" s="3"/>
    </row>
    <row r="760">
      <c r="A760" s="1"/>
      <c r="B760" s="3"/>
      <c r="C760" s="3"/>
      <c r="D760" s="3"/>
      <c r="E760" s="3"/>
      <c r="F760" s="3"/>
    </row>
    <row r="761">
      <c r="A761" s="1"/>
      <c r="B761" s="3"/>
      <c r="C761" s="3"/>
      <c r="D761" s="3"/>
      <c r="E761" s="3"/>
      <c r="F761" s="3"/>
    </row>
    <row r="762">
      <c r="A762" s="1"/>
      <c r="B762" s="3"/>
      <c r="C762" s="3"/>
      <c r="D762" s="3"/>
      <c r="E762" s="3"/>
      <c r="F762" s="3"/>
    </row>
    <row r="763">
      <c r="A763" s="1"/>
      <c r="B763" s="3"/>
      <c r="C763" s="3"/>
      <c r="D763" s="3"/>
      <c r="E763" s="3"/>
      <c r="F763" s="3"/>
    </row>
    <row r="764">
      <c r="A764" s="1"/>
      <c r="B764" s="3"/>
      <c r="C764" s="3"/>
      <c r="D764" s="3"/>
      <c r="E764" s="3"/>
      <c r="F764" s="3"/>
    </row>
    <row r="765">
      <c r="A765" s="1"/>
      <c r="B765" s="3"/>
      <c r="C765" s="3"/>
      <c r="D765" s="3"/>
      <c r="E765" s="3"/>
      <c r="F765" s="3"/>
    </row>
    <row r="766">
      <c r="A766" s="1"/>
      <c r="B766" s="3"/>
      <c r="C766" s="3"/>
      <c r="D766" s="3"/>
      <c r="E766" s="3"/>
      <c r="F766" s="3"/>
    </row>
    <row r="767">
      <c r="A767" s="1"/>
      <c r="B767" s="3"/>
      <c r="C767" s="3"/>
      <c r="D767" s="3"/>
      <c r="E767" s="3"/>
      <c r="F767" s="3"/>
    </row>
    <row r="768">
      <c r="A768" s="1"/>
      <c r="B768" s="3"/>
      <c r="C768" s="3"/>
      <c r="D768" s="3"/>
      <c r="E768" s="3"/>
      <c r="F768" s="3"/>
    </row>
    <row r="769">
      <c r="A769" s="1"/>
      <c r="B769" s="3"/>
      <c r="C769" s="3"/>
      <c r="D769" s="3"/>
      <c r="E769" s="3"/>
      <c r="F769" s="3"/>
    </row>
    <row r="770">
      <c r="A770" s="1"/>
      <c r="B770" s="3"/>
      <c r="C770" s="3"/>
      <c r="D770" s="3"/>
      <c r="E770" s="3"/>
      <c r="F770" s="3"/>
    </row>
    <row r="771">
      <c r="A771" s="1"/>
      <c r="B771" s="3"/>
      <c r="C771" s="3"/>
      <c r="D771" s="3"/>
      <c r="E771" s="3"/>
      <c r="F771" s="3"/>
    </row>
    <row r="772">
      <c r="A772" s="1"/>
      <c r="B772" s="3"/>
      <c r="C772" s="3"/>
      <c r="D772" s="3"/>
      <c r="E772" s="3"/>
      <c r="F772" s="3"/>
    </row>
    <row r="773">
      <c r="A773" s="1"/>
      <c r="B773" s="3"/>
      <c r="C773" s="3"/>
      <c r="D773" s="3"/>
      <c r="E773" s="3"/>
      <c r="F773" s="3"/>
    </row>
    <row r="774">
      <c r="A774" s="1"/>
      <c r="B774" s="3"/>
      <c r="C774" s="3"/>
      <c r="D774" s="3"/>
      <c r="E774" s="3"/>
      <c r="F774" s="3"/>
    </row>
    <row r="775">
      <c r="A775" s="1"/>
      <c r="B775" s="3"/>
      <c r="C775" s="3"/>
      <c r="D775" s="3"/>
      <c r="E775" s="3"/>
      <c r="F775" s="3"/>
    </row>
    <row r="776">
      <c r="A776" s="1"/>
      <c r="B776" s="3"/>
      <c r="C776" s="3"/>
      <c r="D776" s="3"/>
      <c r="E776" s="3"/>
      <c r="F776" s="3"/>
    </row>
    <row r="777">
      <c r="A777" s="1"/>
      <c r="B777" s="3"/>
      <c r="C777" s="3"/>
      <c r="D777" s="3"/>
      <c r="E777" s="3"/>
      <c r="F777" s="3"/>
    </row>
    <row r="778">
      <c r="A778" s="1"/>
      <c r="B778" s="3"/>
      <c r="C778" s="3"/>
      <c r="D778" s="3"/>
      <c r="E778" s="3"/>
      <c r="F778" s="3"/>
    </row>
    <row r="779">
      <c r="A779" s="1"/>
      <c r="B779" s="3"/>
      <c r="C779" s="3"/>
      <c r="D779" s="3"/>
      <c r="E779" s="3"/>
      <c r="F779" s="3"/>
    </row>
    <row r="780">
      <c r="A780" s="1"/>
      <c r="B780" s="3"/>
      <c r="C780" s="3"/>
      <c r="D780" s="3"/>
      <c r="E780" s="3"/>
      <c r="F780" s="3"/>
    </row>
    <row r="781">
      <c r="A781" s="1"/>
      <c r="B781" s="3"/>
      <c r="C781" s="3"/>
      <c r="D781" s="3"/>
      <c r="E781" s="3"/>
      <c r="F781" s="3"/>
    </row>
    <row r="782">
      <c r="A782" s="1"/>
      <c r="B782" s="3"/>
      <c r="C782" s="3"/>
      <c r="D782" s="3"/>
      <c r="E782" s="3"/>
      <c r="F782" s="3"/>
    </row>
    <row r="783">
      <c r="A783" s="1"/>
      <c r="B783" s="3"/>
      <c r="C783" s="3"/>
      <c r="D783" s="3"/>
      <c r="E783" s="3"/>
      <c r="F783" s="3"/>
    </row>
    <row r="784">
      <c r="A784" s="1"/>
      <c r="B784" s="3"/>
      <c r="C784" s="3"/>
      <c r="D784" s="3"/>
      <c r="E784" s="3"/>
      <c r="F784" s="3"/>
    </row>
    <row r="785">
      <c r="A785" s="1"/>
      <c r="B785" s="3"/>
      <c r="C785" s="3"/>
      <c r="D785" s="3"/>
      <c r="E785" s="3"/>
      <c r="F785" s="3"/>
    </row>
    <row r="786">
      <c r="A786" s="1"/>
      <c r="B786" s="3"/>
      <c r="C786" s="3"/>
      <c r="D786" s="3"/>
      <c r="E786" s="3"/>
      <c r="F786" s="3"/>
    </row>
    <row r="787">
      <c r="A787" s="1"/>
      <c r="B787" s="3"/>
      <c r="C787" s="3"/>
      <c r="D787" s="3"/>
      <c r="E787" s="3"/>
      <c r="F787" s="3"/>
    </row>
    <row r="788">
      <c r="A788" s="1"/>
      <c r="B788" s="3"/>
      <c r="C788" s="3"/>
      <c r="D788" s="3"/>
      <c r="E788" s="3"/>
      <c r="F788" s="3"/>
    </row>
    <row r="789">
      <c r="A789" s="1"/>
      <c r="B789" s="3"/>
      <c r="C789" s="3"/>
      <c r="D789" s="3"/>
      <c r="E789" s="3"/>
      <c r="F789" s="3"/>
    </row>
    <row r="790">
      <c r="A790" s="1"/>
      <c r="B790" s="3"/>
      <c r="C790" s="3"/>
      <c r="D790" s="3"/>
      <c r="E790" s="3"/>
      <c r="F790" s="3"/>
    </row>
    <row r="791">
      <c r="A791" s="1"/>
      <c r="B791" s="3"/>
      <c r="C791" s="3"/>
      <c r="D791" s="3"/>
      <c r="E791" s="3"/>
      <c r="F791" s="3"/>
    </row>
    <row r="792">
      <c r="A792" s="1"/>
      <c r="B792" s="3"/>
      <c r="C792" s="3"/>
      <c r="D792" s="3"/>
      <c r="E792" s="3"/>
      <c r="F792" s="3"/>
    </row>
    <row r="793">
      <c r="A793" s="1"/>
      <c r="B793" s="3"/>
      <c r="C793" s="3"/>
      <c r="D793" s="3"/>
      <c r="E793" s="3"/>
      <c r="F793" s="3"/>
    </row>
    <row r="794">
      <c r="A794" s="1"/>
      <c r="B794" s="3"/>
      <c r="C794" s="3"/>
      <c r="D794" s="3"/>
      <c r="E794" s="3"/>
      <c r="F794" s="3"/>
    </row>
    <row r="795">
      <c r="A795" s="1"/>
      <c r="B795" s="3"/>
      <c r="C795" s="3"/>
      <c r="D795" s="3"/>
      <c r="E795" s="3"/>
      <c r="F795" s="3"/>
    </row>
    <row r="796">
      <c r="A796" s="1"/>
      <c r="B796" s="3"/>
      <c r="C796" s="3"/>
      <c r="D796" s="3"/>
      <c r="E796" s="3"/>
      <c r="F796" s="3"/>
    </row>
    <row r="797">
      <c r="A797" s="1"/>
      <c r="B797" s="3"/>
      <c r="C797" s="3"/>
      <c r="D797" s="3"/>
      <c r="E797" s="3"/>
      <c r="F797" s="3"/>
    </row>
    <row r="798">
      <c r="A798" s="1"/>
      <c r="B798" s="3"/>
      <c r="C798" s="3"/>
      <c r="D798" s="3"/>
      <c r="E798" s="3"/>
      <c r="F798" s="3"/>
    </row>
    <row r="799">
      <c r="A799" s="1"/>
      <c r="B799" s="3"/>
      <c r="C799" s="3"/>
      <c r="D799" s="3"/>
      <c r="E799" s="3"/>
      <c r="F799" s="3"/>
    </row>
    <row r="800">
      <c r="A800" s="1"/>
      <c r="B800" s="3"/>
      <c r="C800" s="3"/>
      <c r="D800" s="3"/>
      <c r="E800" s="3"/>
      <c r="F800" s="3"/>
    </row>
    <row r="801">
      <c r="A801" s="1"/>
      <c r="B801" s="3"/>
      <c r="C801" s="3"/>
      <c r="D801" s="3"/>
      <c r="E801" s="3"/>
      <c r="F801" s="3"/>
    </row>
    <row r="802">
      <c r="A802" s="1"/>
      <c r="B802" s="3"/>
      <c r="C802" s="3"/>
      <c r="D802" s="3"/>
      <c r="E802" s="3"/>
      <c r="F802" s="3"/>
    </row>
    <row r="803">
      <c r="A803" s="1"/>
      <c r="B803" s="3"/>
      <c r="C803" s="3"/>
      <c r="D803" s="3"/>
      <c r="E803" s="3"/>
      <c r="F803" s="3"/>
    </row>
    <row r="804">
      <c r="A804" s="1"/>
      <c r="B804" s="3"/>
      <c r="C804" s="3"/>
      <c r="D804" s="3"/>
      <c r="E804" s="3"/>
      <c r="F804" s="3"/>
    </row>
    <row r="805">
      <c r="A805" s="1"/>
      <c r="B805" s="3"/>
      <c r="C805" s="3"/>
      <c r="D805" s="3"/>
      <c r="E805" s="3"/>
      <c r="F805" s="3"/>
    </row>
    <row r="806">
      <c r="A806" s="1"/>
      <c r="B806" s="3"/>
      <c r="C806" s="3"/>
      <c r="D806" s="3"/>
      <c r="E806" s="3"/>
      <c r="F806" s="3"/>
    </row>
    <row r="807">
      <c r="A807" s="1"/>
      <c r="B807" s="3"/>
      <c r="C807" s="3"/>
      <c r="D807" s="3"/>
      <c r="E807" s="3"/>
      <c r="F807" s="3"/>
    </row>
    <row r="808">
      <c r="A808" s="1"/>
      <c r="B808" s="3"/>
      <c r="C808" s="3"/>
      <c r="D808" s="3"/>
      <c r="E808" s="3"/>
      <c r="F808" s="3"/>
    </row>
    <row r="809">
      <c r="A809" s="1"/>
      <c r="B809" s="3"/>
      <c r="C809" s="3"/>
      <c r="D809" s="3"/>
      <c r="E809" s="3"/>
      <c r="F809" s="3"/>
    </row>
    <row r="810">
      <c r="A810" s="1"/>
      <c r="B810" s="3"/>
      <c r="C810" s="3"/>
      <c r="D810" s="3"/>
      <c r="E810" s="3"/>
      <c r="F810" s="3"/>
    </row>
    <row r="811">
      <c r="A811" s="1"/>
      <c r="B811" s="3"/>
      <c r="C811" s="3"/>
      <c r="D811" s="3"/>
      <c r="E811" s="3"/>
      <c r="F811" s="3"/>
    </row>
    <row r="812">
      <c r="A812" s="1"/>
      <c r="B812" s="3"/>
      <c r="C812" s="3"/>
      <c r="D812" s="3"/>
      <c r="E812" s="3"/>
      <c r="F812" s="3"/>
    </row>
    <row r="813">
      <c r="A813" s="1"/>
      <c r="B813" s="3"/>
      <c r="C813" s="3"/>
      <c r="D813" s="3"/>
      <c r="E813" s="3"/>
      <c r="F813" s="3"/>
    </row>
    <row r="814">
      <c r="A814" s="1"/>
      <c r="B814" s="3"/>
      <c r="C814" s="3"/>
      <c r="D814" s="3"/>
      <c r="E814" s="3"/>
      <c r="F814" s="3"/>
    </row>
    <row r="815">
      <c r="A815" s="1"/>
      <c r="B815" s="3"/>
      <c r="C815" s="3"/>
      <c r="D815" s="3"/>
      <c r="E815" s="3"/>
      <c r="F815" s="3"/>
    </row>
    <row r="816">
      <c r="A816" s="1"/>
      <c r="B816" s="3"/>
      <c r="C816" s="3"/>
      <c r="D816" s="3"/>
      <c r="E816" s="3"/>
      <c r="F816" s="3"/>
    </row>
    <row r="817">
      <c r="A817" s="1"/>
      <c r="B817" s="3"/>
      <c r="C817" s="3"/>
      <c r="D817" s="3"/>
      <c r="E817" s="3"/>
      <c r="F817" s="3"/>
    </row>
    <row r="818">
      <c r="A818" s="1"/>
      <c r="B818" s="3"/>
      <c r="C818" s="3"/>
      <c r="D818" s="3"/>
      <c r="E818" s="3"/>
      <c r="F818" s="3"/>
    </row>
    <row r="819">
      <c r="A819" s="1"/>
      <c r="B819" s="3"/>
      <c r="C819" s="3"/>
      <c r="D819" s="3"/>
      <c r="E819" s="3"/>
      <c r="F819" s="3"/>
    </row>
    <row r="820">
      <c r="A820" s="1"/>
      <c r="B820" s="3"/>
      <c r="C820" s="3"/>
      <c r="D820" s="3"/>
      <c r="E820" s="3"/>
      <c r="F820" s="3"/>
    </row>
    <row r="821">
      <c r="A821" s="1"/>
      <c r="B821" s="3"/>
      <c r="C821" s="3"/>
      <c r="D821" s="3"/>
      <c r="E821" s="3"/>
      <c r="F821" s="3"/>
    </row>
    <row r="822">
      <c r="A822" s="1"/>
      <c r="B822" s="3"/>
      <c r="C822" s="3"/>
      <c r="D822" s="3"/>
      <c r="E822" s="3"/>
      <c r="F822" s="3"/>
    </row>
    <row r="823">
      <c r="A823" s="1"/>
      <c r="B823" s="3"/>
      <c r="C823" s="3"/>
      <c r="D823" s="3"/>
      <c r="E823" s="3"/>
      <c r="F823" s="3"/>
    </row>
    <row r="824">
      <c r="A824" s="1"/>
      <c r="B824" s="3"/>
      <c r="C824" s="3"/>
      <c r="D824" s="3"/>
      <c r="E824" s="3"/>
      <c r="F824" s="3"/>
    </row>
    <row r="825">
      <c r="A825" s="1"/>
      <c r="B825" s="3"/>
      <c r="C825" s="3"/>
      <c r="D825" s="3"/>
      <c r="E825" s="3"/>
      <c r="F825" s="3"/>
    </row>
    <row r="826">
      <c r="A826" s="1"/>
      <c r="B826" s="3"/>
      <c r="C826" s="3"/>
      <c r="D826" s="3"/>
      <c r="E826" s="3"/>
      <c r="F826" s="3"/>
    </row>
    <row r="827">
      <c r="A827" s="1"/>
      <c r="B827" s="3"/>
      <c r="C827" s="3"/>
      <c r="D827" s="3"/>
      <c r="E827" s="3"/>
      <c r="F827" s="3"/>
    </row>
    <row r="828">
      <c r="A828" s="1"/>
      <c r="B828" s="3"/>
      <c r="C828" s="3"/>
      <c r="D828" s="3"/>
      <c r="E828" s="3"/>
      <c r="F828" s="3"/>
    </row>
    <row r="829">
      <c r="A829" s="1"/>
      <c r="B829" s="3"/>
      <c r="C829" s="3"/>
      <c r="D829" s="3"/>
      <c r="E829" s="3"/>
      <c r="F829" s="3"/>
    </row>
    <row r="830">
      <c r="A830" s="1"/>
      <c r="B830" s="3"/>
      <c r="C830" s="3"/>
      <c r="D830" s="3"/>
      <c r="E830" s="3"/>
      <c r="F830" s="3"/>
    </row>
    <row r="831">
      <c r="A831" s="1"/>
      <c r="B831" s="3"/>
      <c r="C831" s="3"/>
      <c r="D831" s="3"/>
      <c r="E831" s="3"/>
      <c r="F831" s="3"/>
    </row>
    <row r="832">
      <c r="A832" s="1"/>
      <c r="B832" s="3"/>
      <c r="C832" s="3"/>
      <c r="D832" s="3"/>
      <c r="E832" s="3"/>
      <c r="F832" s="3"/>
    </row>
    <row r="833">
      <c r="A833" s="1"/>
      <c r="B833" s="3"/>
      <c r="C833" s="3"/>
      <c r="D833" s="3"/>
      <c r="E833" s="3"/>
      <c r="F833" s="3"/>
    </row>
    <row r="834">
      <c r="A834" s="1"/>
      <c r="B834" s="3"/>
      <c r="C834" s="3"/>
      <c r="D834" s="3"/>
      <c r="E834" s="3"/>
      <c r="F834" s="3"/>
    </row>
    <row r="835">
      <c r="A835" s="1"/>
      <c r="B835" s="3"/>
      <c r="C835" s="3"/>
      <c r="D835" s="3"/>
      <c r="E835" s="3"/>
      <c r="F835" s="3"/>
    </row>
    <row r="836">
      <c r="A836" s="1"/>
      <c r="B836" s="3"/>
      <c r="C836" s="3"/>
      <c r="D836" s="3"/>
      <c r="E836" s="3"/>
      <c r="F836" s="3"/>
    </row>
    <row r="837">
      <c r="A837" s="1"/>
      <c r="B837" s="3"/>
      <c r="C837" s="3"/>
      <c r="D837" s="3"/>
      <c r="E837" s="3"/>
      <c r="F837" s="3"/>
    </row>
    <row r="838">
      <c r="A838" s="1"/>
      <c r="B838" s="3"/>
      <c r="C838" s="3"/>
      <c r="D838" s="3"/>
      <c r="E838" s="3"/>
      <c r="F838" s="3"/>
    </row>
    <row r="839">
      <c r="A839" s="1"/>
      <c r="B839" s="3"/>
      <c r="C839" s="3"/>
      <c r="D839" s="3"/>
      <c r="E839" s="3"/>
      <c r="F839" s="3"/>
    </row>
    <row r="840">
      <c r="A840" s="1"/>
      <c r="B840" s="3"/>
      <c r="C840" s="3"/>
      <c r="D840" s="3"/>
      <c r="E840" s="3"/>
      <c r="F840" s="3"/>
    </row>
    <row r="841">
      <c r="A841" s="1"/>
      <c r="B841" s="3"/>
      <c r="C841" s="3"/>
      <c r="D841" s="3"/>
      <c r="E841" s="3"/>
      <c r="F841" s="3"/>
    </row>
    <row r="842">
      <c r="A842" s="1"/>
      <c r="B842" s="3"/>
      <c r="C842" s="3"/>
      <c r="D842" s="3"/>
      <c r="E842" s="3"/>
      <c r="F842" s="3"/>
    </row>
    <row r="843">
      <c r="A843" s="1"/>
      <c r="B843" s="3"/>
      <c r="C843" s="3"/>
      <c r="D843" s="3"/>
      <c r="E843" s="3"/>
      <c r="F843" s="3"/>
    </row>
    <row r="844">
      <c r="A844" s="1"/>
      <c r="B844" s="3"/>
      <c r="C844" s="3"/>
      <c r="D844" s="3"/>
      <c r="E844" s="3"/>
      <c r="F844" s="3"/>
    </row>
    <row r="845">
      <c r="A845" s="1"/>
      <c r="B845" s="3"/>
      <c r="C845" s="3"/>
      <c r="D845" s="3"/>
      <c r="E845" s="3"/>
      <c r="F845" s="3"/>
    </row>
    <row r="846">
      <c r="A846" s="1"/>
      <c r="B846" s="3"/>
      <c r="C846" s="3"/>
      <c r="D846" s="3"/>
      <c r="E846" s="3"/>
      <c r="F846" s="3"/>
    </row>
    <row r="847">
      <c r="A847" s="1"/>
      <c r="B847" s="3"/>
      <c r="C847" s="3"/>
      <c r="D847" s="3"/>
      <c r="E847" s="3"/>
      <c r="F847" s="3"/>
    </row>
    <row r="848">
      <c r="A848" s="1"/>
      <c r="B848" s="3"/>
      <c r="C848" s="3"/>
      <c r="D848" s="3"/>
      <c r="E848" s="3"/>
      <c r="F848" s="3"/>
    </row>
    <row r="849">
      <c r="A849" s="1"/>
      <c r="B849" s="3"/>
      <c r="C849" s="3"/>
      <c r="D849" s="3"/>
      <c r="E849" s="3"/>
      <c r="F849" s="3"/>
    </row>
    <row r="850">
      <c r="A850" s="1"/>
      <c r="B850" s="3"/>
      <c r="C850" s="3"/>
      <c r="D850" s="3"/>
      <c r="E850" s="3"/>
      <c r="F850" s="3"/>
    </row>
    <row r="851">
      <c r="A851" s="1"/>
      <c r="B851" s="3"/>
      <c r="C851" s="3"/>
      <c r="D851" s="3"/>
      <c r="E851" s="3"/>
      <c r="F851" s="3"/>
    </row>
    <row r="852">
      <c r="A852" s="1"/>
      <c r="B852" s="3"/>
      <c r="C852" s="3"/>
      <c r="D852" s="3"/>
      <c r="E852" s="3"/>
      <c r="F852" s="3"/>
    </row>
    <row r="853">
      <c r="A853" s="1"/>
      <c r="B853" s="3"/>
      <c r="C853" s="3"/>
      <c r="D853" s="3"/>
      <c r="E853" s="3"/>
      <c r="F853" s="3"/>
    </row>
    <row r="854">
      <c r="A854" s="1"/>
      <c r="B854" s="3"/>
      <c r="C854" s="3"/>
      <c r="D854" s="3"/>
      <c r="E854" s="3"/>
      <c r="F854" s="3"/>
    </row>
    <row r="855">
      <c r="A855" s="1"/>
      <c r="B855" s="3"/>
      <c r="C855" s="3"/>
      <c r="D855" s="3"/>
      <c r="E855" s="3"/>
      <c r="F855" s="3"/>
    </row>
    <row r="856">
      <c r="A856" s="1"/>
      <c r="B856" s="3"/>
      <c r="C856" s="3"/>
      <c r="D856" s="3"/>
      <c r="E856" s="3"/>
      <c r="F856" s="3"/>
    </row>
    <row r="857">
      <c r="A857" s="1"/>
      <c r="B857" s="3"/>
      <c r="C857" s="3"/>
      <c r="D857" s="3"/>
      <c r="E857" s="3"/>
      <c r="F857" s="3"/>
    </row>
    <row r="858">
      <c r="A858" s="1"/>
      <c r="B858" s="3"/>
      <c r="C858" s="3"/>
      <c r="D858" s="3"/>
      <c r="E858" s="3"/>
      <c r="F858" s="3"/>
    </row>
    <row r="859">
      <c r="A859" s="1"/>
      <c r="B859" s="3"/>
      <c r="C859" s="3"/>
      <c r="D859" s="3"/>
      <c r="E859" s="3"/>
      <c r="F859" s="3"/>
    </row>
    <row r="860">
      <c r="A860" s="1"/>
      <c r="B860" s="3"/>
      <c r="C860" s="3"/>
      <c r="D860" s="3"/>
      <c r="E860" s="3"/>
      <c r="F860" s="3"/>
    </row>
    <row r="861">
      <c r="A861" s="1"/>
      <c r="B861" s="3"/>
      <c r="C861" s="3"/>
      <c r="D861" s="3"/>
      <c r="E861" s="3"/>
      <c r="F861" s="3"/>
    </row>
    <row r="862">
      <c r="A862" s="1"/>
      <c r="B862" s="3"/>
      <c r="C862" s="3"/>
      <c r="D862" s="3"/>
      <c r="E862" s="3"/>
      <c r="F862" s="3"/>
    </row>
    <row r="863">
      <c r="A863" s="1"/>
      <c r="B863" s="3"/>
      <c r="C863" s="3"/>
      <c r="D863" s="3"/>
      <c r="E863" s="3"/>
      <c r="F863" s="3"/>
    </row>
    <row r="864">
      <c r="A864" s="1"/>
      <c r="B864" s="3"/>
      <c r="C864" s="3"/>
      <c r="D864" s="3"/>
      <c r="E864" s="3"/>
      <c r="F864" s="3"/>
    </row>
    <row r="865">
      <c r="A865" s="1"/>
      <c r="B865" s="3"/>
      <c r="C865" s="3"/>
      <c r="D865" s="3"/>
      <c r="E865" s="3"/>
      <c r="F865" s="3"/>
    </row>
    <row r="866">
      <c r="A866" s="1"/>
      <c r="B866" s="3"/>
      <c r="C866" s="3"/>
      <c r="D866" s="3"/>
      <c r="E866" s="3"/>
      <c r="F866" s="3"/>
    </row>
    <row r="867">
      <c r="A867" s="1"/>
      <c r="B867" s="3"/>
      <c r="C867" s="3"/>
      <c r="D867" s="3"/>
      <c r="E867" s="3"/>
      <c r="F867" s="3"/>
    </row>
    <row r="868">
      <c r="A868" s="1"/>
      <c r="B868" s="3"/>
      <c r="C868" s="3"/>
      <c r="D868" s="3"/>
      <c r="E868" s="3"/>
      <c r="F868" s="3"/>
    </row>
    <row r="869">
      <c r="A869" s="1"/>
      <c r="B869" s="3"/>
      <c r="C869" s="3"/>
      <c r="D869" s="3"/>
      <c r="E869" s="3"/>
      <c r="F869" s="3"/>
    </row>
    <row r="870">
      <c r="A870" s="1"/>
      <c r="B870" s="3"/>
      <c r="C870" s="3"/>
      <c r="D870" s="3"/>
      <c r="E870" s="3"/>
      <c r="F870" s="3"/>
    </row>
    <row r="871">
      <c r="A871" s="1"/>
      <c r="B871" s="3"/>
      <c r="C871" s="3"/>
      <c r="D871" s="3"/>
      <c r="E871" s="3"/>
      <c r="F871" s="3"/>
    </row>
    <row r="872">
      <c r="A872" s="1"/>
      <c r="B872" s="3"/>
      <c r="C872" s="3"/>
      <c r="D872" s="3"/>
      <c r="E872" s="3"/>
      <c r="F872" s="3"/>
    </row>
    <row r="873">
      <c r="A873" s="1"/>
      <c r="B873" s="3"/>
      <c r="C873" s="3"/>
      <c r="D873" s="3"/>
      <c r="E873" s="3"/>
      <c r="F873" s="3"/>
    </row>
    <row r="874">
      <c r="A874" s="1"/>
      <c r="B874" s="3"/>
      <c r="C874" s="3"/>
      <c r="D874" s="3"/>
      <c r="E874" s="3"/>
      <c r="F874" s="3"/>
    </row>
    <row r="875">
      <c r="A875" s="1"/>
      <c r="B875" s="3"/>
      <c r="C875" s="3"/>
      <c r="D875" s="3"/>
      <c r="E875" s="3"/>
      <c r="F875" s="3"/>
    </row>
    <row r="876">
      <c r="A876" s="1"/>
      <c r="B876" s="3"/>
      <c r="C876" s="3"/>
      <c r="D876" s="3"/>
      <c r="E876" s="3"/>
      <c r="F876" s="3"/>
    </row>
    <row r="877">
      <c r="A877" s="1"/>
      <c r="B877" s="3"/>
      <c r="C877" s="3"/>
      <c r="D877" s="3"/>
      <c r="E877" s="3"/>
      <c r="F877" s="3"/>
    </row>
    <row r="878">
      <c r="A878" s="1"/>
      <c r="B878" s="3"/>
      <c r="C878" s="3"/>
      <c r="D878" s="3"/>
      <c r="E878" s="3"/>
      <c r="F878" s="3"/>
    </row>
    <row r="879">
      <c r="A879" s="1"/>
      <c r="B879" s="3"/>
      <c r="C879" s="3"/>
      <c r="D879" s="3"/>
      <c r="E879" s="3"/>
      <c r="F879" s="3"/>
    </row>
    <row r="880">
      <c r="A880" s="1"/>
      <c r="B880" s="3"/>
      <c r="C880" s="3"/>
      <c r="D880" s="3"/>
      <c r="E880" s="3"/>
      <c r="F880" s="3"/>
    </row>
    <row r="881">
      <c r="A881" s="1"/>
      <c r="B881" s="3"/>
      <c r="C881" s="3"/>
      <c r="D881" s="3"/>
      <c r="E881" s="3"/>
      <c r="F881" s="3"/>
    </row>
    <row r="882">
      <c r="A882" s="1"/>
      <c r="B882" s="3"/>
      <c r="C882" s="3"/>
      <c r="D882" s="3"/>
      <c r="E882" s="3"/>
      <c r="F882" s="3"/>
    </row>
    <row r="883">
      <c r="A883" s="1"/>
      <c r="B883" s="3"/>
      <c r="C883" s="3"/>
      <c r="D883" s="3"/>
      <c r="E883" s="3"/>
      <c r="F883" s="3"/>
    </row>
    <row r="884">
      <c r="A884" s="1"/>
      <c r="B884" s="3"/>
      <c r="C884" s="3"/>
      <c r="D884" s="3"/>
      <c r="E884" s="3"/>
      <c r="F884" s="3"/>
    </row>
    <row r="885">
      <c r="A885" s="1"/>
      <c r="B885" s="3"/>
      <c r="C885" s="3"/>
      <c r="D885" s="3"/>
      <c r="E885" s="3"/>
      <c r="F885" s="3"/>
    </row>
    <row r="886">
      <c r="A886" s="1"/>
      <c r="B886" s="3"/>
      <c r="C886" s="3"/>
      <c r="D886" s="3"/>
      <c r="E886" s="3"/>
      <c r="F886" s="3"/>
    </row>
    <row r="887">
      <c r="A887" s="1"/>
      <c r="B887" s="3"/>
      <c r="C887" s="3"/>
      <c r="D887" s="3"/>
      <c r="E887" s="3"/>
      <c r="F887" s="3"/>
    </row>
    <row r="888">
      <c r="A888" s="1"/>
      <c r="B888" s="3"/>
      <c r="C888" s="3"/>
      <c r="D888" s="3"/>
      <c r="E888" s="3"/>
      <c r="F888" s="3"/>
    </row>
    <row r="889">
      <c r="A889" s="1"/>
      <c r="B889" s="3"/>
      <c r="C889" s="3"/>
      <c r="D889" s="3"/>
      <c r="E889" s="3"/>
      <c r="F889" s="3"/>
    </row>
    <row r="890">
      <c r="A890" s="1"/>
      <c r="B890" s="3"/>
      <c r="C890" s="3"/>
      <c r="D890" s="3"/>
      <c r="E890" s="3"/>
      <c r="F890" s="3"/>
    </row>
    <row r="891">
      <c r="A891" s="1"/>
      <c r="B891" s="3"/>
      <c r="C891" s="3"/>
      <c r="D891" s="3"/>
      <c r="E891" s="3"/>
      <c r="F891" s="3"/>
    </row>
    <row r="892">
      <c r="A892" s="1"/>
      <c r="B892" s="3"/>
      <c r="C892" s="3"/>
      <c r="D892" s="3"/>
      <c r="E892" s="3"/>
      <c r="F892" s="3"/>
    </row>
    <row r="893">
      <c r="A893" s="1"/>
      <c r="B893" s="3"/>
      <c r="C893" s="3"/>
      <c r="D893" s="3"/>
      <c r="E893" s="3"/>
      <c r="F893" s="3"/>
    </row>
    <row r="894">
      <c r="A894" s="1"/>
      <c r="B894" s="3"/>
      <c r="C894" s="3"/>
      <c r="D894" s="3"/>
      <c r="E894" s="3"/>
      <c r="F894" s="3"/>
    </row>
    <row r="895">
      <c r="A895" s="1"/>
      <c r="B895" s="3"/>
      <c r="C895" s="3"/>
      <c r="D895" s="3"/>
      <c r="E895" s="3"/>
      <c r="F895" s="3"/>
    </row>
    <row r="896">
      <c r="A896" s="1"/>
      <c r="B896" s="3"/>
      <c r="C896" s="3"/>
      <c r="D896" s="3"/>
      <c r="E896" s="3"/>
      <c r="F896" s="3"/>
    </row>
    <row r="897">
      <c r="A897" s="1"/>
      <c r="B897" s="3"/>
      <c r="C897" s="3"/>
      <c r="D897" s="3"/>
      <c r="E897" s="3"/>
      <c r="F897" s="3"/>
    </row>
    <row r="898">
      <c r="A898" s="1"/>
      <c r="B898" s="3"/>
      <c r="C898" s="3"/>
      <c r="D898" s="3"/>
      <c r="E898" s="3"/>
      <c r="F898" s="3"/>
    </row>
    <row r="899">
      <c r="A899" s="1"/>
      <c r="B899" s="3"/>
      <c r="C899" s="3"/>
      <c r="D899" s="3"/>
      <c r="E899" s="3"/>
      <c r="F899" s="3"/>
    </row>
    <row r="900">
      <c r="A900" s="1"/>
      <c r="B900" s="3"/>
      <c r="C900" s="3"/>
      <c r="D900" s="3"/>
      <c r="E900" s="3"/>
      <c r="F900" s="3"/>
    </row>
    <row r="901">
      <c r="A901" s="1"/>
      <c r="B901" s="3"/>
      <c r="C901" s="3"/>
      <c r="D901" s="3"/>
      <c r="E901" s="3"/>
      <c r="F901" s="3"/>
    </row>
    <row r="902">
      <c r="A902" s="1"/>
      <c r="B902" s="3"/>
      <c r="C902" s="3"/>
      <c r="D902" s="3"/>
      <c r="E902" s="3"/>
      <c r="F902" s="3"/>
    </row>
    <row r="903">
      <c r="A903" s="1"/>
      <c r="B903" s="3"/>
      <c r="C903" s="3"/>
      <c r="D903" s="3"/>
      <c r="E903" s="3"/>
      <c r="F903" s="3"/>
    </row>
    <row r="904">
      <c r="A904" s="1"/>
      <c r="B904" s="3"/>
      <c r="C904" s="3"/>
      <c r="D904" s="3"/>
      <c r="E904" s="3"/>
      <c r="F904" s="3"/>
    </row>
    <row r="905">
      <c r="A905" s="1"/>
      <c r="B905" s="3"/>
      <c r="C905" s="3"/>
      <c r="D905" s="3"/>
      <c r="E905" s="3"/>
      <c r="F905" s="3"/>
    </row>
    <row r="906">
      <c r="A906" s="1"/>
      <c r="B906" s="3"/>
      <c r="C906" s="3"/>
      <c r="D906" s="3"/>
      <c r="E906" s="3"/>
      <c r="F906" s="3"/>
    </row>
    <row r="907">
      <c r="A907" s="1"/>
      <c r="B907" s="3"/>
      <c r="C907" s="3"/>
      <c r="D907" s="3"/>
      <c r="E907" s="3"/>
      <c r="F907" s="3"/>
    </row>
    <row r="908">
      <c r="A908" s="1"/>
      <c r="B908" s="3"/>
      <c r="C908" s="3"/>
      <c r="D908" s="3"/>
      <c r="E908" s="3"/>
      <c r="F908" s="3"/>
    </row>
    <row r="909">
      <c r="A909" s="1"/>
      <c r="B909" s="3"/>
      <c r="C909" s="3"/>
      <c r="D909" s="3"/>
      <c r="E909" s="3"/>
      <c r="F909" s="3"/>
    </row>
    <row r="910">
      <c r="A910" s="1"/>
      <c r="B910" s="3"/>
      <c r="C910" s="3"/>
      <c r="D910" s="3"/>
      <c r="E910" s="3"/>
      <c r="F910" s="3"/>
    </row>
    <row r="911">
      <c r="A911" s="1"/>
      <c r="B911" s="3"/>
      <c r="C911" s="3"/>
      <c r="D911" s="3"/>
      <c r="E911" s="3"/>
      <c r="F911" s="3"/>
    </row>
    <row r="912">
      <c r="A912" s="1"/>
      <c r="B912" s="3"/>
      <c r="C912" s="3"/>
      <c r="D912" s="3"/>
      <c r="E912" s="3"/>
      <c r="F912" s="3"/>
    </row>
    <row r="913">
      <c r="A913" s="1"/>
      <c r="B913" s="3"/>
      <c r="C913" s="3"/>
      <c r="D913" s="3"/>
      <c r="E913" s="3"/>
      <c r="F913" s="3"/>
    </row>
    <row r="914">
      <c r="A914" s="1"/>
      <c r="B914" s="3"/>
      <c r="C914" s="3"/>
      <c r="D914" s="3"/>
      <c r="E914" s="3"/>
      <c r="F914" s="3"/>
    </row>
    <row r="915">
      <c r="A915" s="1"/>
      <c r="B915" s="3"/>
      <c r="C915" s="3"/>
      <c r="D915" s="3"/>
      <c r="E915" s="3"/>
      <c r="F915" s="3"/>
    </row>
    <row r="916">
      <c r="A916" s="1"/>
      <c r="B916" s="3"/>
      <c r="C916" s="3"/>
      <c r="D916" s="3"/>
      <c r="E916" s="3"/>
      <c r="F916" s="3"/>
    </row>
    <row r="917">
      <c r="A917" s="1"/>
      <c r="B917" s="3"/>
      <c r="C917" s="3"/>
      <c r="D917" s="3"/>
      <c r="E917" s="3"/>
      <c r="F917" s="3"/>
    </row>
    <row r="918">
      <c r="A918" s="1"/>
      <c r="B918" s="3"/>
      <c r="C918" s="3"/>
      <c r="D918" s="3"/>
      <c r="E918" s="3"/>
      <c r="F918" s="3"/>
    </row>
    <row r="919">
      <c r="A919" s="1"/>
      <c r="B919" s="3"/>
      <c r="C919" s="3"/>
      <c r="D919" s="3"/>
      <c r="E919" s="3"/>
      <c r="F919" s="3"/>
    </row>
    <row r="920">
      <c r="A920" s="1"/>
      <c r="B920" s="3"/>
      <c r="C920" s="3"/>
      <c r="D920" s="3"/>
      <c r="E920" s="3"/>
      <c r="F920" s="3"/>
    </row>
    <row r="921">
      <c r="A921" s="1"/>
      <c r="B921" s="3"/>
      <c r="C921" s="3"/>
      <c r="D921" s="3"/>
      <c r="E921" s="3"/>
      <c r="F921" s="3"/>
    </row>
    <row r="922">
      <c r="A922" s="1"/>
      <c r="B922" s="3"/>
      <c r="C922" s="3"/>
      <c r="D922" s="3"/>
      <c r="E922" s="3"/>
      <c r="F922" s="3"/>
    </row>
    <row r="923">
      <c r="A923" s="1"/>
      <c r="B923" s="3"/>
      <c r="C923" s="3"/>
      <c r="D923" s="3"/>
      <c r="E923" s="3"/>
      <c r="F923" s="3"/>
    </row>
    <row r="924">
      <c r="A924" s="1"/>
      <c r="B924" s="3"/>
      <c r="C924" s="3"/>
      <c r="D924" s="3"/>
      <c r="E924" s="3"/>
      <c r="F924" s="3"/>
    </row>
    <row r="925">
      <c r="A925" s="1"/>
      <c r="B925" s="3"/>
      <c r="C925" s="3"/>
      <c r="D925" s="3"/>
      <c r="E925" s="3"/>
      <c r="F925" s="3"/>
    </row>
    <row r="926">
      <c r="A926" s="1"/>
      <c r="B926" s="3"/>
      <c r="C926" s="3"/>
      <c r="D926" s="3"/>
      <c r="E926" s="3"/>
      <c r="F926" s="3"/>
    </row>
    <row r="927">
      <c r="A927" s="1"/>
      <c r="B927" s="3"/>
      <c r="C927" s="3"/>
      <c r="D927" s="3"/>
      <c r="E927" s="3"/>
      <c r="F927" s="3"/>
    </row>
    <row r="928">
      <c r="A928" s="1"/>
      <c r="B928" s="3"/>
      <c r="C928" s="3"/>
      <c r="D928" s="3"/>
      <c r="E928" s="3"/>
      <c r="F928" s="3"/>
    </row>
    <row r="929">
      <c r="A929" s="1"/>
      <c r="B929" s="3"/>
      <c r="C929" s="3"/>
      <c r="D929" s="3"/>
      <c r="E929" s="3"/>
      <c r="F929" s="3"/>
    </row>
    <row r="930">
      <c r="A930" s="1"/>
      <c r="B930" s="3"/>
      <c r="C930" s="3"/>
      <c r="D930" s="3"/>
      <c r="E930" s="3"/>
      <c r="F930" s="3"/>
    </row>
    <row r="931">
      <c r="A931" s="1"/>
      <c r="B931" s="3"/>
      <c r="C931" s="3"/>
      <c r="D931" s="3"/>
      <c r="E931" s="3"/>
      <c r="F931" s="3"/>
    </row>
    <row r="932">
      <c r="A932" s="1"/>
      <c r="B932" s="3"/>
      <c r="C932" s="3"/>
      <c r="D932" s="3"/>
      <c r="E932" s="3"/>
      <c r="F932" s="3"/>
    </row>
    <row r="933">
      <c r="A933" s="1"/>
      <c r="B933" s="3"/>
      <c r="C933" s="3"/>
      <c r="D933" s="3"/>
      <c r="E933" s="3"/>
      <c r="F933" s="3"/>
    </row>
    <row r="934">
      <c r="A934" s="1"/>
      <c r="B934" s="3"/>
      <c r="C934" s="3"/>
      <c r="D934" s="3"/>
      <c r="E934" s="3"/>
      <c r="F934" s="3"/>
    </row>
    <row r="935">
      <c r="A935" s="1"/>
      <c r="B935" s="3"/>
      <c r="C935" s="3"/>
      <c r="D935" s="3"/>
      <c r="E935" s="3"/>
      <c r="F935" s="3"/>
    </row>
    <row r="936">
      <c r="A936" s="1"/>
      <c r="B936" s="3"/>
      <c r="C936" s="3"/>
      <c r="D936" s="3"/>
      <c r="E936" s="3"/>
      <c r="F936" s="3"/>
    </row>
    <row r="937">
      <c r="A937" s="1"/>
      <c r="B937" s="3"/>
      <c r="C937" s="3"/>
      <c r="D937" s="3"/>
      <c r="E937" s="3"/>
      <c r="F937" s="3"/>
    </row>
    <row r="938">
      <c r="A938" s="1"/>
      <c r="B938" s="3"/>
      <c r="C938" s="3"/>
      <c r="D938" s="3"/>
      <c r="E938" s="3"/>
      <c r="F938" s="3"/>
    </row>
    <row r="939">
      <c r="A939" s="1"/>
      <c r="B939" s="3"/>
      <c r="C939" s="3"/>
      <c r="D939" s="3"/>
      <c r="E939" s="3"/>
      <c r="F939" s="3"/>
    </row>
    <row r="940">
      <c r="A940" s="1"/>
      <c r="B940" s="3"/>
      <c r="C940" s="3"/>
      <c r="D940" s="3"/>
      <c r="E940" s="3"/>
      <c r="F940" s="3"/>
    </row>
    <row r="941">
      <c r="A941" s="1"/>
      <c r="B941" s="3"/>
      <c r="C941" s="3"/>
      <c r="D941" s="3"/>
      <c r="E941" s="3"/>
      <c r="F941" s="3"/>
    </row>
    <row r="942">
      <c r="A942" s="1"/>
      <c r="B942" s="3"/>
      <c r="C942" s="3"/>
      <c r="D942" s="3"/>
      <c r="E942" s="3"/>
      <c r="F942" s="3"/>
    </row>
    <row r="943">
      <c r="A943" s="1"/>
      <c r="B943" s="3"/>
      <c r="C943" s="3"/>
      <c r="D943" s="3"/>
      <c r="E943" s="3"/>
      <c r="F943" s="3"/>
    </row>
    <row r="944">
      <c r="A944" s="1"/>
      <c r="B944" s="3"/>
      <c r="C944" s="3"/>
      <c r="D944" s="3"/>
      <c r="E944" s="3"/>
      <c r="F944" s="3"/>
    </row>
    <row r="945">
      <c r="A945" s="1"/>
      <c r="B945" s="3"/>
      <c r="C945" s="3"/>
      <c r="D945" s="3"/>
      <c r="E945" s="3"/>
      <c r="F945" s="3"/>
    </row>
    <row r="946">
      <c r="A946" s="1"/>
      <c r="B946" s="3"/>
      <c r="C946" s="3"/>
      <c r="D946" s="3"/>
      <c r="E946" s="3"/>
      <c r="F946" s="3"/>
    </row>
    <row r="947">
      <c r="A947" s="1"/>
      <c r="B947" s="3"/>
      <c r="C947" s="3"/>
      <c r="D947" s="3"/>
      <c r="E947" s="3"/>
      <c r="F947" s="3"/>
    </row>
    <row r="948">
      <c r="A948" s="1"/>
      <c r="B948" s="3"/>
      <c r="C948" s="3"/>
      <c r="D948" s="3"/>
      <c r="E948" s="3"/>
      <c r="F948" s="3"/>
    </row>
    <row r="949">
      <c r="A949" s="1"/>
      <c r="B949" s="3"/>
      <c r="C949" s="3"/>
      <c r="D949" s="3"/>
      <c r="E949" s="3"/>
      <c r="F949" s="3"/>
    </row>
    <row r="950">
      <c r="A950" s="1"/>
      <c r="B950" s="3"/>
      <c r="C950" s="3"/>
      <c r="D950" s="3"/>
      <c r="E950" s="3"/>
      <c r="F950" s="3"/>
    </row>
    <row r="951">
      <c r="A951" s="1"/>
      <c r="B951" s="3"/>
      <c r="C951" s="3"/>
      <c r="D951" s="3"/>
      <c r="E951" s="3"/>
      <c r="F951" s="3"/>
    </row>
    <row r="952">
      <c r="A952" s="1"/>
      <c r="B952" s="3"/>
      <c r="C952" s="3"/>
      <c r="D952" s="3"/>
      <c r="E952" s="3"/>
      <c r="F952" s="3"/>
    </row>
    <row r="953">
      <c r="A953" s="1"/>
      <c r="B953" s="3"/>
      <c r="C953" s="3"/>
      <c r="D953" s="3"/>
      <c r="E953" s="3"/>
      <c r="F953" s="3"/>
    </row>
    <row r="954">
      <c r="A954" s="1"/>
      <c r="B954" s="3"/>
      <c r="C954" s="3"/>
      <c r="D954" s="3"/>
      <c r="E954" s="3"/>
      <c r="F954" s="3"/>
    </row>
    <row r="955">
      <c r="A955" s="1"/>
      <c r="B955" s="3"/>
      <c r="C955" s="3"/>
      <c r="D955" s="3"/>
      <c r="E955" s="3"/>
      <c r="F955" s="3"/>
    </row>
    <row r="956">
      <c r="A956" s="1"/>
      <c r="B956" s="3"/>
      <c r="C956" s="3"/>
      <c r="D956" s="3"/>
      <c r="E956" s="3"/>
      <c r="F956" s="3"/>
    </row>
    <row r="957">
      <c r="A957" s="1"/>
      <c r="B957" s="3"/>
      <c r="C957" s="3"/>
      <c r="D957" s="3"/>
      <c r="E957" s="3"/>
      <c r="F957" s="3"/>
    </row>
    <row r="958">
      <c r="A958" s="1"/>
      <c r="B958" s="3"/>
      <c r="C958" s="3"/>
      <c r="D958" s="3"/>
      <c r="E958" s="3"/>
      <c r="F958" s="3"/>
    </row>
    <row r="959">
      <c r="A959" s="1"/>
      <c r="B959" s="3"/>
      <c r="C959" s="3"/>
      <c r="D959" s="3"/>
      <c r="E959" s="3"/>
      <c r="F959" s="3"/>
    </row>
    <row r="960">
      <c r="A960" s="1"/>
      <c r="B960" s="3"/>
      <c r="C960" s="3"/>
      <c r="D960" s="3"/>
      <c r="E960" s="3"/>
      <c r="F960" s="3"/>
    </row>
    <row r="961">
      <c r="A961" s="1"/>
      <c r="B961" s="3"/>
      <c r="C961" s="3"/>
      <c r="D961" s="3"/>
      <c r="E961" s="3"/>
      <c r="F961" s="3"/>
    </row>
    <row r="962">
      <c r="A962" s="1"/>
      <c r="B962" s="3"/>
      <c r="C962" s="3"/>
      <c r="D962" s="3"/>
      <c r="E962" s="3"/>
      <c r="F962" s="3"/>
    </row>
    <row r="963">
      <c r="A963" s="1"/>
      <c r="B963" s="3"/>
      <c r="C963" s="3"/>
      <c r="D963" s="3"/>
      <c r="E963" s="3"/>
      <c r="F963" s="3"/>
    </row>
    <row r="964">
      <c r="A964" s="1"/>
      <c r="B964" s="3"/>
      <c r="C964" s="3"/>
      <c r="D964" s="3"/>
      <c r="E964" s="3"/>
      <c r="F964" s="3"/>
    </row>
    <row r="965">
      <c r="A965" s="1"/>
      <c r="B965" s="3"/>
      <c r="C965" s="3"/>
      <c r="D965" s="3"/>
      <c r="E965" s="3"/>
      <c r="F965" s="3"/>
    </row>
    <row r="966">
      <c r="A966" s="1"/>
      <c r="B966" s="3"/>
      <c r="C966" s="3"/>
      <c r="D966" s="3"/>
      <c r="E966" s="3"/>
      <c r="F966" s="3"/>
    </row>
    <row r="967">
      <c r="A967" s="1"/>
      <c r="B967" s="3"/>
      <c r="C967" s="3"/>
      <c r="D967" s="3"/>
      <c r="E967" s="3"/>
      <c r="F967" s="3"/>
    </row>
    <row r="968">
      <c r="A968" s="1"/>
      <c r="B968" s="3"/>
      <c r="C968" s="3"/>
      <c r="D968" s="3"/>
      <c r="E968" s="3"/>
      <c r="F968" s="3"/>
    </row>
    <row r="969">
      <c r="A969" s="1"/>
      <c r="B969" s="3"/>
      <c r="C969" s="3"/>
      <c r="D969" s="3"/>
      <c r="E969" s="3"/>
      <c r="F969" s="3"/>
    </row>
    <row r="970">
      <c r="A970" s="1"/>
      <c r="B970" s="3"/>
      <c r="C970" s="3"/>
      <c r="D970" s="3"/>
      <c r="E970" s="3"/>
      <c r="F970" s="3"/>
    </row>
    <row r="971">
      <c r="A971" s="1"/>
      <c r="B971" s="3"/>
      <c r="C971" s="3"/>
      <c r="D971" s="3"/>
      <c r="E971" s="3"/>
      <c r="F971" s="3"/>
    </row>
    <row r="972">
      <c r="A972" s="1"/>
      <c r="B972" s="3"/>
      <c r="C972" s="3"/>
      <c r="D972" s="3"/>
      <c r="E972" s="3"/>
      <c r="F972" s="3"/>
    </row>
    <row r="973">
      <c r="A973" s="1"/>
      <c r="B973" s="3"/>
      <c r="C973" s="3"/>
      <c r="D973" s="3"/>
      <c r="E973" s="3"/>
      <c r="F973" s="3"/>
    </row>
    <row r="974">
      <c r="A974" s="1"/>
      <c r="B974" s="3"/>
      <c r="C974" s="3"/>
      <c r="D974" s="3"/>
      <c r="E974" s="3"/>
      <c r="F974" s="3"/>
    </row>
    <row r="975">
      <c r="A975" s="1"/>
      <c r="B975" s="3"/>
      <c r="C975" s="3"/>
      <c r="D975" s="3"/>
      <c r="E975" s="3"/>
      <c r="F975" s="3"/>
    </row>
    <row r="976">
      <c r="A976" s="1"/>
      <c r="B976" s="3"/>
      <c r="C976" s="3"/>
      <c r="D976" s="3"/>
      <c r="E976" s="3"/>
      <c r="F976" s="3"/>
    </row>
    <row r="977">
      <c r="A977" s="1"/>
      <c r="B977" s="3"/>
      <c r="C977" s="3"/>
      <c r="D977" s="3"/>
      <c r="E977" s="3"/>
      <c r="F977" s="3"/>
    </row>
    <row r="978">
      <c r="A978" s="1"/>
      <c r="B978" s="3"/>
      <c r="C978" s="3"/>
      <c r="D978" s="3"/>
      <c r="E978" s="3"/>
      <c r="F978" s="3"/>
    </row>
    <row r="979">
      <c r="A979" s="1"/>
      <c r="B979" s="3"/>
      <c r="C979" s="3"/>
      <c r="D979" s="3"/>
      <c r="E979" s="3"/>
      <c r="F979" s="3"/>
    </row>
    <row r="980">
      <c r="A980" s="1"/>
      <c r="B980" s="3"/>
      <c r="C980" s="3"/>
      <c r="D980" s="3"/>
      <c r="E980" s="3"/>
      <c r="F980" s="3"/>
    </row>
    <row r="981">
      <c r="A981" s="1"/>
      <c r="B981" s="3"/>
      <c r="C981" s="3"/>
      <c r="D981" s="3"/>
      <c r="E981" s="3"/>
      <c r="F981" s="3"/>
    </row>
    <row r="982">
      <c r="A982" s="1"/>
      <c r="B982" s="3"/>
      <c r="C982" s="3"/>
      <c r="D982" s="3"/>
      <c r="E982" s="3"/>
      <c r="F982" s="3"/>
    </row>
    <row r="983">
      <c r="A983" s="1"/>
      <c r="B983" s="3"/>
      <c r="C983" s="3"/>
      <c r="D983" s="3"/>
      <c r="E983" s="3"/>
      <c r="F983" s="3"/>
    </row>
    <row r="984">
      <c r="A984" s="1"/>
      <c r="B984" s="3"/>
      <c r="C984" s="3"/>
      <c r="D984" s="3"/>
      <c r="E984" s="3"/>
      <c r="F984" s="3"/>
    </row>
    <row r="985">
      <c r="A985" s="1"/>
      <c r="B985" s="3"/>
      <c r="C985" s="3"/>
      <c r="D985" s="3"/>
      <c r="E985" s="3"/>
      <c r="F985" s="3"/>
    </row>
    <row r="986">
      <c r="A986" s="1"/>
      <c r="B986" s="3"/>
      <c r="C986" s="3"/>
      <c r="D986" s="3"/>
      <c r="E986" s="3"/>
      <c r="F986" s="3"/>
    </row>
    <row r="987">
      <c r="A987" s="1"/>
      <c r="B987" s="3"/>
      <c r="C987" s="3"/>
      <c r="D987" s="3"/>
      <c r="E987" s="3"/>
      <c r="F987" s="3"/>
    </row>
    <row r="988">
      <c r="A988" s="1"/>
      <c r="B988" s="3"/>
      <c r="C988" s="3"/>
      <c r="D988" s="3"/>
      <c r="E988" s="3"/>
      <c r="F988" s="3"/>
    </row>
    <row r="989">
      <c r="A989" s="1"/>
      <c r="B989" s="3"/>
      <c r="C989" s="3"/>
      <c r="D989" s="3"/>
      <c r="E989" s="3"/>
      <c r="F989" s="3"/>
    </row>
    <row r="990">
      <c r="A990" s="1"/>
      <c r="B990" s="3"/>
      <c r="C990" s="3"/>
      <c r="D990" s="3"/>
      <c r="E990" s="3"/>
      <c r="F990" s="3"/>
    </row>
    <row r="991">
      <c r="A991" s="1"/>
      <c r="B991" s="3"/>
      <c r="C991" s="3"/>
      <c r="D991" s="3"/>
      <c r="E991" s="3"/>
      <c r="F991" s="3"/>
    </row>
    <row r="992">
      <c r="A992" s="1"/>
      <c r="B992" s="3"/>
      <c r="C992" s="3"/>
      <c r="D992" s="3"/>
      <c r="E992" s="3"/>
      <c r="F992" s="3"/>
    </row>
    <row r="993">
      <c r="A993" s="1"/>
      <c r="B993" s="3"/>
      <c r="C993" s="3"/>
      <c r="D993" s="3"/>
      <c r="E993" s="3"/>
      <c r="F993" s="3"/>
    </row>
    <row r="994">
      <c r="A994" s="1"/>
      <c r="B994" s="3"/>
      <c r="C994" s="3"/>
      <c r="D994" s="3"/>
      <c r="E994" s="3"/>
      <c r="F994" s="3"/>
    </row>
    <row r="995">
      <c r="A995" s="1"/>
      <c r="B995" s="3"/>
      <c r="C995" s="3"/>
      <c r="D995" s="3"/>
      <c r="E995" s="3"/>
      <c r="F995" s="3"/>
    </row>
    <row r="996">
      <c r="A996" s="1"/>
      <c r="B996" s="3"/>
      <c r="C996" s="3"/>
      <c r="D996" s="3"/>
      <c r="E996" s="3"/>
      <c r="F996" s="3"/>
    </row>
    <row r="997">
      <c r="A997" s="1"/>
      <c r="B997" s="3"/>
      <c r="C997" s="3"/>
      <c r="D997" s="3"/>
      <c r="E997" s="3"/>
      <c r="F997" s="3"/>
    </row>
    <row r="998">
      <c r="A998" s="1"/>
      <c r="B998" s="3"/>
      <c r="C998" s="3"/>
      <c r="D998" s="3"/>
      <c r="E998" s="3"/>
      <c r="F998" s="3"/>
    </row>
    <row r="999">
      <c r="A999" s="1"/>
      <c r="B999" s="3"/>
      <c r="C999" s="3"/>
      <c r="D999" s="3"/>
      <c r="E999" s="3"/>
      <c r="F999" s="3"/>
    </row>
    <row r="1000">
      <c r="A1000" s="1"/>
      <c r="B1000" s="3"/>
      <c r="C1000" s="3"/>
      <c r="D1000" s="3"/>
      <c r="E1000" s="3"/>
      <c r="F1000" s="3"/>
    </row>
    <row r="1001">
      <c r="A1001" s="1"/>
      <c r="B1001" s="3"/>
      <c r="C1001" s="3"/>
      <c r="D1001" s="3"/>
      <c r="E1001" s="3"/>
      <c r="F1001" s="3"/>
    </row>
    <row r="1002">
      <c r="A1002" s="1"/>
      <c r="B1002" s="3"/>
      <c r="C1002" s="3"/>
      <c r="D1002" s="3"/>
      <c r="E1002" s="3"/>
      <c r="F1002" s="3"/>
    </row>
    <row r="1003">
      <c r="A1003" s="1"/>
      <c r="B1003" s="3"/>
      <c r="C1003" s="3"/>
      <c r="D1003" s="3"/>
      <c r="E1003" s="3"/>
      <c r="F1003" s="3"/>
    </row>
    <row r="1004">
      <c r="A1004" s="1"/>
      <c r="B1004" s="3"/>
      <c r="C1004" s="3"/>
      <c r="D1004" s="3"/>
      <c r="E1004" s="3"/>
      <c r="F1004" s="3"/>
    </row>
    <row r="1005">
      <c r="A1005" s="1"/>
      <c r="B1005" s="3"/>
      <c r="C1005" s="3"/>
      <c r="D1005" s="3"/>
      <c r="E1005" s="3"/>
      <c r="F1005" s="3"/>
    </row>
    <row r="1006">
      <c r="A1006" s="1"/>
      <c r="B1006" s="3"/>
      <c r="C1006" s="3"/>
      <c r="D1006" s="3"/>
      <c r="E1006" s="3"/>
      <c r="F1006" s="3"/>
    </row>
    <row r="1007">
      <c r="A1007" s="1"/>
      <c r="B1007" s="3"/>
      <c r="C1007" s="3"/>
      <c r="D1007" s="3"/>
      <c r="E1007" s="3"/>
      <c r="F1007" s="3"/>
    </row>
    <row r="1008">
      <c r="A1008" s="1"/>
      <c r="B1008" s="3"/>
      <c r="C1008" s="3"/>
      <c r="D1008" s="3"/>
      <c r="E1008" s="3"/>
      <c r="F1008" s="3"/>
    </row>
    <row r="1009">
      <c r="A1009" s="1"/>
      <c r="B1009" s="3"/>
      <c r="C1009" s="3"/>
      <c r="D1009" s="3"/>
      <c r="E1009" s="3"/>
      <c r="F1009" s="3"/>
    </row>
    <row r="1010">
      <c r="A1010" s="1"/>
      <c r="B1010" s="3"/>
      <c r="C1010" s="3"/>
      <c r="D1010" s="3"/>
      <c r="E1010" s="3"/>
      <c r="F1010" s="3"/>
    </row>
    <row r="1011">
      <c r="A1011" s="1"/>
      <c r="B1011" s="3"/>
      <c r="C1011" s="3"/>
      <c r="D1011" s="3"/>
      <c r="E1011" s="3"/>
      <c r="F1011" s="3"/>
    </row>
    <row r="1012">
      <c r="A1012" s="1"/>
      <c r="B1012" s="3"/>
      <c r="C1012" s="3"/>
      <c r="D1012" s="3"/>
      <c r="E1012" s="3"/>
      <c r="F1012" s="3"/>
    </row>
    <row r="1013">
      <c r="A1013" s="1"/>
      <c r="B1013" s="3"/>
      <c r="C1013" s="3"/>
      <c r="D1013" s="3"/>
      <c r="E1013" s="3"/>
      <c r="F1013" s="3"/>
    </row>
    <row r="1014">
      <c r="A1014" s="1"/>
      <c r="B1014" s="3"/>
      <c r="C1014" s="3"/>
      <c r="D1014" s="3"/>
      <c r="E1014" s="3"/>
      <c r="F1014" s="3"/>
    </row>
    <row r="1015">
      <c r="A1015" s="1"/>
      <c r="B1015" s="3"/>
      <c r="C1015" s="3"/>
      <c r="D1015" s="3"/>
      <c r="E1015" s="3"/>
      <c r="F1015" s="3"/>
    </row>
    <row r="1016">
      <c r="A1016" s="1"/>
      <c r="B1016" s="3"/>
      <c r="C1016" s="3"/>
      <c r="D1016" s="3"/>
      <c r="E1016" s="3"/>
      <c r="F1016" s="3"/>
    </row>
    <row r="1017">
      <c r="A1017" s="1"/>
      <c r="B1017" s="3"/>
      <c r="C1017" s="3"/>
      <c r="D1017" s="3"/>
      <c r="E1017" s="3"/>
      <c r="F1017" s="3"/>
    </row>
    <row r="1018">
      <c r="A1018" s="1"/>
      <c r="B1018" s="3"/>
      <c r="C1018" s="3"/>
      <c r="D1018" s="3"/>
      <c r="E1018" s="3"/>
      <c r="F1018" s="3"/>
    </row>
    <row r="1019">
      <c r="A1019" s="1"/>
      <c r="B1019" s="3"/>
      <c r="C1019" s="3"/>
      <c r="D1019" s="3"/>
      <c r="E1019" s="3"/>
      <c r="F1019" s="3"/>
    </row>
    <row r="1020">
      <c r="A1020" s="1"/>
      <c r="B1020" s="3"/>
      <c r="C1020" s="3"/>
      <c r="D1020" s="3"/>
      <c r="E1020" s="3"/>
      <c r="F1020" s="3"/>
    </row>
    <row r="1021">
      <c r="A1021" s="1"/>
      <c r="B1021" s="3"/>
      <c r="C1021" s="3"/>
      <c r="D1021" s="3"/>
      <c r="E1021" s="3"/>
      <c r="F1021" s="3"/>
    </row>
    <row r="1022">
      <c r="A1022" s="1"/>
      <c r="B1022" s="3"/>
      <c r="C1022" s="3"/>
      <c r="D1022" s="3"/>
      <c r="E1022" s="3"/>
      <c r="F1022" s="3"/>
    </row>
    <row r="1023">
      <c r="A1023" s="1"/>
      <c r="B1023" s="3"/>
      <c r="C1023" s="3"/>
      <c r="D1023" s="3"/>
      <c r="E1023" s="3"/>
      <c r="F1023" s="3"/>
    </row>
    <row r="1024">
      <c r="A1024" s="1"/>
      <c r="B1024" s="3"/>
      <c r="C1024" s="3"/>
      <c r="D1024" s="3"/>
      <c r="E1024" s="3"/>
      <c r="F1024" s="3"/>
    </row>
    <row r="1025">
      <c r="A1025" s="1"/>
      <c r="B1025" s="3"/>
      <c r="C1025" s="3"/>
      <c r="D1025" s="3"/>
      <c r="E1025" s="3"/>
      <c r="F1025" s="3"/>
    </row>
    <row r="1026">
      <c r="A1026" s="1"/>
      <c r="B1026" s="3"/>
      <c r="C1026" s="3"/>
      <c r="D1026" s="3"/>
      <c r="E1026" s="3"/>
      <c r="F1026" s="3"/>
    </row>
    <row r="1027">
      <c r="A1027" s="1"/>
      <c r="B1027" s="3"/>
      <c r="C1027" s="3"/>
      <c r="D1027" s="3"/>
      <c r="E1027" s="3"/>
      <c r="F1027" s="3"/>
    </row>
    <row r="1028">
      <c r="A1028" s="1"/>
      <c r="B1028" s="3"/>
      <c r="C1028" s="3"/>
      <c r="D1028" s="3"/>
      <c r="E1028" s="3"/>
      <c r="F1028" s="3"/>
    </row>
    <row r="1029">
      <c r="A1029" s="1"/>
      <c r="B1029" s="3"/>
      <c r="C1029" s="3"/>
      <c r="D1029" s="3"/>
      <c r="E1029" s="3"/>
      <c r="F1029" s="3"/>
    </row>
    <row r="1030">
      <c r="A1030" s="1"/>
      <c r="B1030" s="3"/>
      <c r="C1030" s="3"/>
      <c r="D1030" s="3"/>
      <c r="E1030" s="3"/>
      <c r="F1030" s="3"/>
    </row>
    <row r="1031">
      <c r="A1031" s="1"/>
      <c r="B1031" s="3"/>
      <c r="C1031" s="3"/>
      <c r="D1031" s="3"/>
      <c r="E1031" s="3"/>
      <c r="F1031" s="3"/>
    </row>
    <row r="1032">
      <c r="A1032" s="1"/>
      <c r="B1032" s="3"/>
      <c r="C1032" s="3"/>
      <c r="D1032" s="3"/>
      <c r="E1032" s="3"/>
      <c r="F1032" s="3"/>
    </row>
    <row r="1033">
      <c r="A1033" s="1"/>
      <c r="B1033" s="3"/>
      <c r="C1033" s="3"/>
      <c r="D1033" s="3"/>
      <c r="E1033" s="3"/>
      <c r="F1033" s="3"/>
    </row>
    <row r="1034">
      <c r="A1034" s="1"/>
      <c r="B1034" s="3"/>
      <c r="C1034" s="3"/>
      <c r="D1034" s="3"/>
      <c r="E1034" s="3"/>
      <c r="F1034" s="3"/>
    </row>
    <row r="1035">
      <c r="A1035" s="1"/>
      <c r="B1035" s="3"/>
      <c r="C1035" s="3"/>
      <c r="D1035" s="3"/>
      <c r="E1035" s="3"/>
      <c r="F1035" s="3"/>
    </row>
    <row r="1036">
      <c r="A1036" s="1"/>
      <c r="B1036" s="3"/>
      <c r="C1036" s="3"/>
      <c r="D1036" s="3"/>
      <c r="E1036" s="3"/>
      <c r="F1036" s="3"/>
    </row>
    <row r="1037">
      <c r="A1037" s="1"/>
      <c r="B1037" s="3"/>
      <c r="C1037" s="3"/>
      <c r="D1037" s="3"/>
      <c r="E1037" s="3"/>
      <c r="F1037" s="3"/>
    </row>
    <row r="1038">
      <c r="A1038" s="1"/>
      <c r="B1038" s="3"/>
      <c r="C1038" s="3"/>
      <c r="D1038" s="3"/>
      <c r="E1038" s="3"/>
      <c r="F1038" s="3"/>
    </row>
    <row r="1039">
      <c r="A1039" s="1"/>
      <c r="B1039" s="3"/>
      <c r="C1039" s="3"/>
      <c r="D1039" s="3"/>
      <c r="E1039" s="3"/>
      <c r="F1039" s="3"/>
    </row>
    <row r="1040">
      <c r="A1040" s="1"/>
      <c r="B1040" s="3"/>
      <c r="C1040" s="3"/>
      <c r="D1040" s="3"/>
      <c r="E1040" s="3"/>
      <c r="F1040" s="3"/>
    </row>
    <row r="1041">
      <c r="A1041" s="1"/>
      <c r="B1041" s="3"/>
      <c r="C1041" s="3"/>
      <c r="D1041" s="3"/>
      <c r="E1041" s="3"/>
      <c r="F1041" s="3"/>
    </row>
    <row r="1042">
      <c r="A1042" s="1"/>
      <c r="B1042" s="3"/>
      <c r="C1042" s="3"/>
      <c r="D1042" s="3"/>
      <c r="E1042" s="3"/>
      <c r="F1042" s="3"/>
    </row>
    <row r="1043">
      <c r="A1043" s="1"/>
      <c r="B1043" s="3"/>
      <c r="C1043" s="3"/>
      <c r="D1043" s="3"/>
      <c r="E1043" s="3"/>
      <c r="F1043" s="3"/>
    </row>
    <row r="1044">
      <c r="A1044" s="1"/>
      <c r="B1044" s="3"/>
      <c r="C1044" s="3"/>
      <c r="D1044" s="3"/>
      <c r="E1044" s="3"/>
      <c r="F1044" s="3"/>
    </row>
    <row r="1045">
      <c r="A1045" s="1"/>
      <c r="B1045" s="3"/>
      <c r="C1045" s="3"/>
      <c r="D1045" s="3"/>
      <c r="E1045" s="3"/>
      <c r="F1045" s="3"/>
    </row>
    <row r="1046">
      <c r="A1046" s="1"/>
      <c r="B1046" s="3"/>
      <c r="C1046" s="3"/>
      <c r="D1046" s="3"/>
      <c r="E1046" s="3"/>
      <c r="F1046" s="3"/>
    </row>
    <row r="1047">
      <c r="A1047" s="1"/>
      <c r="B1047" s="3"/>
      <c r="C1047" s="3"/>
      <c r="D1047" s="3"/>
      <c r="E1047" s="3"/>
      <c r="F1047" s="3"/>
    </row>
    <row r="1048">
      <c r="A1048" s="1"/>
      <c r="B1048" s="3"/>
      <c r="C1048" s="3"/>
      <c r="D1048" s="3"/>
      <c r="E1048" s="3"/>
      <c r="F1048" s="3"/>
    </row>
    <row r="1049">
      <c r="A1049" s="1"/>
      <c r="B1049" s="3"/>
      <c r="C1049" s="3"/>
      <c r="D1049" s="3"/>
      <c r="E1049" s="3"/>
      <c r="F1049" s="3"/>
    </row>
    <row r="1050">
      <c r="A1050" s="1"/>
      <c r="B1050" s="3"/>
      <c r="C1050" s="3"/>
      <c r="D1050" s="3"/>
      <c r="E1050" s="3"/>
      <c r="F1050" s="3"/>
    </row>
    <row r="1051">
      <c r="A1051" s="1"/>
      <c r="B1051" s="3"/>
      <c r="C1051" s="3"/>
      <c r="D1051" s="3"/>
      <c r="E1051" s="3"/>
      <c r="F1051" s="3"/>
    </row>
    <row r="1052">
      <c r="A1052" s="1"/>
      <c r="B1052" s="3"/>
      <c r="C1052" s="3"/>
      <c r="D1052" s="3"/>
      <c r="E1052" s="3"/>
      <c r="F1052" s="3"/>
    </row>
    <row r="1053">
      <c r="A1053" s="1"/>
      <c r="B1053" s="3"/>
      <c r="C1053" s="3"/>
      <c r="D1053" s="3"/>
      <c r="E1053" s="3"/>
      <c r="F1053" s="3"/>
    </row>
    <row r="1054">
      <c r="A1054" s="1"/>
      <c r="B1054" s="3"/>
      <c r="C1054" s="3"/>
      <c r="D1054" s="3"/>
      <c r="E1054" s="3"/>
      <c r="F1054" s="3"/>
    </row>
    <row r="1055">
      <c r="A1055" s="1"/>
      <c r="B1055" s="3"/>
      <c r="C1055" s="3"/>
      <c r="D1055" s="3"/>
      <c r="E1055" s="3"/>
      <c r="F1055" s="3"/>
    </row>
    <row r="1056">
      <c r="A1056" s="1"/>
      <c r="B1056" s="3"/>
      <c r="C1056" s="3"/>
      <c r="D1056" s="3"/>
      <c r="E1056" s="3"/>
      <c r="F1056" s="3"/>
    </row>
    <row r="1057">
      <c r="A1057" s="1"/>
      <c r="B1057" s="3"/>
      <c r="C1057" s="3"/>
      <c r="D1057" s="3"/>
      <c r="E1057" s="3"/>
      <c r="F1057" s="3"/>
    </row>
    <row r="1058">
      <c r="A1058" s="1"/>
      <c r="B1058" s="3"/>
      <c r="C1058" s="3"/>
      <c r="D1058" s="3"/>
      <c r="E1058" s="3"/>
      <c r="F1058" s="3"/>
    </row>
    <row r="1059">
      <c r="A1059" s="1"/>
      <c r="B1059" s="3"/>
      <c r="C1059" s="3"/>
      <c r="D1059" s="3"/>
      <c r="E1059" s="3"/>
      <c r="F1059" s="3"/>
    </row>
    <row r="1060">
      <c r="A1060" s="1"/>
      <c r="B1060" s="3"/>
      <c r="C1060" s="3"/>
      <c r="D1060" s="3"/>
      <c r="E1060" s="3"/>
      <c r="F1060" s="3"/>
    </row>
    <row r="1061">
      <c r="A1061" s="1"/>
      <c r="B1061" s="3"/>
      <c r="C1061" s="3"/>
      <c r="D1061" s="3"/>
      <c r="E1061" s="3"/>
      <c r="F1061" s="3"/>
    </row>
    <row r="1062">
      <c r="A1062" s="1"/>
      <c r="B1062" s="3"/>
      <c r="C1062" s="3"/>
      <c r="D1062" s="3"/>
      <c r="E1062" s="3"/>
      <c r="F1062" s="3"/>
    </row>
    <row r="1063">
      <c r="A1063" s="1"/>
      <c r="B1063" s="3"/>
      <c r="C1063" s="3"/>
      <c r="D1063" s="3"/>
      <c r="E1063" s="3"/>
      <c r="F1063" s="3"/>
    </row>
    <row r="1064">
      <c r="A1064" s="1"/>
      <c r="B1064" s="3"/>
      <c r="C1064" s="3"/>
      <c r="D1064" s="3"/>
      <c r="E1064" s="3"/>
      <c r="F1064" s="3"/>
    </row>
    <row r="1065">
      <c r="A1065" s="1"/>
      <c r="B1065" s="3"/>
      <c r="C1065" s="3"/>
      <c r="D1065" s="3"/>
      <c r="E1065" s="3"/>
      <c r="F1065" s="3"/>
    </row>
    <row r="1066">
      <c r="A1066" s="1"/>
      <c r="B1066" s="3"/>
      <c r="C1066" s="3"/>
      <c r="D1066" s="3"/>
      <c r="E1066" s="3"/>
      <c r="F1066" s="3"/>
    </row>
    <row r="1067">
      <c r="A1067" s="1"/>
      <c r="B1067" s="3"/>
      <c r="C1067" s="3"/>
      <c r="D1067" s="3"/>
      <c r="E1067" s="3"/>
      <c r="F1067" s="3"/>
    </row>
    <row r="1068">
      <c r="A1068" s="1"/>
      <c r="B1068" s="3"/>
      <c r="C1068" s="3"/>
      <c r="D1068" s="3"/>
      <c r="E1068" s="3"/>
      <c r="F1068" s="3"/>
    </row>
    <row r="1069">
      <c r="A1069" s="1"/>
      <c r="B1069" s="3"/>
      <c r="C1069" s="3"/>
      <c r="D1069" s="3"/>
      <c r="E1069" s="3"/>
      <c r="F1069" s="3"/>
    </row>
    <row r="1070">
      <c r="A1070" s="1"/>
      <c r="B1070" s="3"/>
      <c r="C1070" s="3"/>
      <c r="D1070" s="3"/>
      <c r="E1070" s="3"/>
      <c r="F1070" s="3"/>
    </row>
    <row r="1071">
      <c r="A1071" s="1"/>
      <c r="B1071" s="3"/>
      <c r="C1071" s="3"/>
      <c r="D1071" s="3"/>
      <c r="E1071" s="3"/>
      <c r="F1071" s="3"/>
    </row>
    <row r="1072">
      <c r="A1072" s="1"/>
      <c r="B1072" s="3"/>
      <c r="C1072" s="3"/>
      <c r="D1072" s="3"/>
      <c r="E1072" s="3"/>
      <c r="F1072" s="3"/>
    </row>
    <row r="1073">
      <c r="A1073" s="1"/>
      <c r="B1073" s="3"/>
      <c r="C1073" s="3"/>
      <c r="D1073" s="3"/>
      <c r="E1073" s="3"/>
      <c r="F1073" s="3"/>
    </row>
    <row r="1074">
      <c r="A1074" s="1"/>
      <c r="B1074" s="3"/>
      <c r="C1074" s="3"/>
      <c r="D1074" s="3"/>
      <c r="E1074" s="3"/>
      <c r="F1074" s="3"/>
    </row>
    <row r="1075">
      <c r="A1075" s="1"/>
      <c r="B1075" s="3"/>
      <c r="C1075" s="3"/>
      <c r="D1075" s="3"/>
      <c r="E1075" s="3"/>
      <c r="F1075" s="3"/>
    </row>
    <row r="1076">
      <c r="A1076" s="1"/>
      <c r="B1076" s="3"/>
      <c r="C1076" s="3"/>
      <c r="D1076" s="3"/>
      <c r="E1076" s="3"/>
      <c r="F1076" s="3"/>
    </row>
    <row r="1077">
      <c r="A1077" s="1"/>
      <c r="B1077" s="3"/>
      <c r="C1077" s="3"/>
      <c r="D1077" s="3"/>
      <c r="E1077" s="3"/>
      <c r="F1077" s="3"/>
    </row>
    <row r="1078">
      <c r="A1078" s="1"/>
      <c r="B1078" s="3"/>
      <c r="C1078" s="3"/>
      <c r="D1078" s="3"/>
      <c r="E1078" s="3"/>
      <c r="F1078" s="3"/>
    </row>
    <row r="1079">
      <c r="A1079" s="1"/>
      <c r="B1079" s="3"/>
      <c r="C1079" s="3"/>
      <c r="D1079" s="3"/>
      <c r="E1079" s="3"/>
      <c r="F1079" s="3"/>
    </row>
    <row r="1080">
      <c r="A1080" s="1"/>
      <c r="B1080" s="3"/>
      <c r="C1080" s="3"/>
      <c r="D1080" s="3"/>
      <c r="E1080" s="3"/>
      <c r="F1080" s="3"/>
    </row>
    <row r="1081">
      <c r="A1081" s="1"/>
      <c r="B1081" s="3"/>
      <c r="C1081" s="3"/>
      <c r="D1081" s="3"/>
      <c r="E1081" s="3"/>
      <c r="F1081" s="3"/>
    </row>
    <row r="1082">
      <c r="A1082" s="1"/>
      <c r="B1082" s="3"/>
      <c r="C1082" s="3"/>
      <c r="D1082" s="3"/>
      <c r="E1082" s="3"/>
      <c r="F1082" s="3"/>
    </row>
    <row r="1083">
      <c r="A1083" s="1"/>
      <c r="B1083" s="3"/>
      <c r="C1083" s="3"/>
      <c r="D1083" s="3"/>
      <c r="E1083" s="3"/>
      <c r="F1083" s="3"/>
    </row>
    <row r="1084">
      <c r="A1084" s="1"/>
      <c r="B1084" s="3"/>
      <c r="C1084" s="3"/>
      <c r="D1084" s="3"/>
      <c r="E1084" s="3"/>
      <c r="F1084" s="3"/>
    </row>
    <row r="1085">
      <c r="A1085" s="1"/>
      <c r="B1085" s="3"/>
      <c r="C1085" s="3"/>
      <c r="D1085" s="3"/>
      <c r="E1085" s="3"/>
      <c r="F1085" s="3"/>
    </row>
    <row r="1086">
      <c r="A1086" s="1"/>
      <c r="B1086" s="3"/>
      <c r="C1086" s="3"/>
      <c r="D1086" s="3"/>
      <c r="E1086" s="3"/>
      <c r="F1086" s="3"/>
    </row>
    <row r="1087">
      <c r="A1087" s="1"/>
      <c r="B1087" s="3"/>
      <c r="C1087" s="3"/>
      <c r="D1087" s="3"/>
      <c r="E1087" s="3"/>
      <c r="F1087" s="3"/>
    </row>
    <row r="1088">
      <c r="A1088" s="1"/>
      <c r="B1088" s="3"/>
      <c r="C1088" s="3"/>
      <c r="D1088" s="3"/>
      <c r="E1088" s="3"/>
      <c r="F1088" s="3"/>
    </row>
    <row r="1089">
      <c r="A1089" s="1"/>
      <c r="B1089" s="3"/>
      <c r="C1089" s="3"/>
      <c r="D1089" s="3"/>
      <c r="E1089" s="3"/>
      <c r="F1089" s="3"/>
    </row>
    <row r="1090">
      <c r="A1090" s="1"/>
      <c r="B1090" s="3"/>
      <c r="C1090" s="3"/>
      <c r="D1090" s="3"/>
      <c r="E1090" s="3"/>
      <c r="F1090" s="3"/>
    </row>
    <row r="1091">
      <c r="A1091" s="1"/>
      <c r="B1091" s="3"/>
      <c r="C1091" s="3"/>
      <c r="D1091" s="3"/>
      <c r="E1091" s="3"/>
      <c r="F1091" s="3"/>
    </row>
    <row r="1092">
      <c r="A1092" s="1"/>
      <c r="B1092" s="3"/>
      <c r="C1092" s="3"/>
      <c r="D1092" s="3"/>
      <c r="E1092" s="3"/>
      <c r="F1092" s="3"/>
    </row>
    <row r="1093">
      <c r="A1093" s="1"/>
      <c r="B1093" s="3"/>
      <c r="C1093" s="3"/>
      <c r="D1093" s="3"/>
      <c r="E1093" s="3"/>
      <c r="F1093" s="3"/>
    </row>
    <row r="1094">
      <c r="A1094" s="1"/>
      <c r="B1094" s="3"/>
      <c r="C1094" s="3"/>
      <c r="D1094" s="3"/>
      <c r="E1094" s="3"/>
      <c r="F1094" s="3"/>
    </row>
  </sheetData>
  <mergeCells count="44">
    <mergeCell ref="B4:F5"/>
    <mergeCell ref="B6:F8"/>
    <mergeCell ref="B9:F11"/>
    <mergeCell ref="B14:F14"/>
    <mergeCell ref="B15:F15"/>
    <mergeCell ref="B16:F17"/>
    <mergeCell ref="B18:F20"/>
    <mergeCell ref="B23:F24"/>
    <mergeCell ref="B30:F31"/>
    <mergeCell ref="B32:F33"/>
    <mergeCell ref="B34:F37"/>
    <mergeCell ref="B38:F38"/>
    <mergeCell ref="B39:F39"/>
    <mergeCell ref="B41:F42"/>
    <mergeCell ref="B43:F43"/>
    <mergeCell ref="B44:F44"/>
    <mergeCell ref="B45:F45"/>
    <mergeCell ref="B47:E47"/>
    <mergeCell ref="B48:F51"/>
    <mergeCell ref="B52:F53"/>
    <mergeCell ref="B54:F56"/>
    <mergeCell ref="B57:F60"/>
    <mergeCell ref="B61:F64"/>
    <mergeCell ref="B65:F68"/>
    <mergeCell ref="B69:F70"/>
    <mergeCell ref="B71:F71"/>
    <mergeCell ref="B72:F72"/>
    <mergeCell ref="B73:D73"/>
    <mergeCell ref="B74:F79"/>
    <mergeCell ref="B80:F81"/>
    <mergeCell ref="B82:F82"/>
    <mergeCell ref="B83:F83"/>
    <mergeCell ref="B85:F90"/>
    <mergeCell ref="B91:F91"/>
    <mergeCell ref="B92:F96"/>
    <mergeCell ref="B114:F115"/>
    <mergeCell ref="B116:F117"/>
    <mergeCell ref="B97:F99"/>
    <mergeCell ref="B101:F102"/>
    <mergeCell ref="B103:F104"/>
    <mergeCell ref="B105:C105"/>
    <mergeCell ref="B106:F109"/>
    <mergeCell ref="B110:F111"/>
    <mergeCell ref="B112:F1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3.63"/>
  </cols>
  <sheetData>
    <row r="1">
      <c r="A1" s="10" t="s">
        <v>7</v>
      </c>
      <c r="B1" s="12"/>
      <c r="J1" s="14"/>
      <c r="K1" s="17"/>
    </row>
    <row r="2">
      <c r="A2" s="10" t="s">
        <v>20</v>
      </c>
      <c r="B2" s="12"/>
      <c r="J2" s="14"/>
      <c r="K2" s="17"/>
    </row>
    <row r="3">
      <c r="A3" s="10">
        <v>0.0</v>
      </c>
      <c r="B3" s="12"/>
      <c r="C3" s="10" t="s">
        <v>26</v>
      </c>
      <c r="J3" s="14"/>
      <c r="K3" s="17"/>
    </row>
    <row r="4">
      <c r="A4" s="10"/>
      <c r="B4" s="12"/>
      <c r="C4" s="24" t="s">
        <v>31</v>
      </c>
      <c r="J4" s="14"/>
      <c r="K4" s="17"/>
    </row>
    <row r="5">
      <c r="A5" s="10"/>
      <c r="B5" s="12"/>
      <c r="J5" s="14"/>
      <c r="K5" s="17"/>
    </row>
    <row r="6">
      <c r="A6" s="10">
        <v>1.0</v>
      </c>
      <c r="B6" s="12"/>
      <c r="C6" s="24" t="s">
        <v>42</v>
      </c>
      <c r="J6" s="14"/>
      <c r="K6" s="17"/>
    </row>
    <row r="7">
      <c r="A7" s="10"/>
      <c r="B7" s="12"/>
      <c r="J7" s="14"/>
      <c r="K7" s="17"/>
    </row>
    <row r="8">
      <c r="A8" s="10">
        <v>2.0</v>
      </c>
      <c r="B8" s="12"/>
      <c r="C8" s="14" t="s">
        <v>48</v>
      </c>
      <c r="J8" s="14"/>
      <c r="K8" s="17"/>
    </row>
    <row r="9">
      <c r="A9" s="12"/>
      <c r="B9" s="10" t="s">
        <v>51</v>
      </c>
      <c r="C9" s="24" t="s">
        <v>52</v>
      </c>
      <c r="J9" s="14"/>
      <c r="K9" s="17"/>
    </row>
    <row r="10">
      <c r="A10" s="12"/>
      <c r="B10" s="12"/>
      <c r="J10" s="14"/>
      <c r="K10" s="17"/>
    </row>
    <row r="11">
      <c r="A11" s="12"/>
      <c r="B11" s="10" t="s">
        <v>53</v>
      </c>
      <c r="C11" s="24" t="s">
        <v>54</v>
      </c>
      <c r="J11" s="14"/>
      <c r="K11" s="17"/>
    </row>
    <row r="12">
      <c r="A12" s="12"/>
      <c r="B12" s="12"/>
      <c r="K12" s="17"/>
    </row>
    <row r="13">
      <c r="A13" s="12"/>
      <c r="B13" s="12"/>
      <c r="K13" s="17"/>
    </row>
    <row r="14">
      <c r="B14" s="10" t="s">
        <v>61</v>
      </c>
      <c r="C14" s="34" t="s">
        <v>62</v>
      </c>
      <c r="K14" s="35"/>
    </row>
    <row r="15">
      <c r="B15" s="10" t="s">
        <v>64</v>
      </c>
      <c r="C15" s="14" t="s">
        <v>65</v>
      </c>
      <c r="K15" s="35"/>
    </row>
    <row r="16">
      <c r="B16" s="10" t="s">
        <v>67</v>
      </c>
      <c r="C16" s="24" t="s">
        <v>68</v>
      </c>
      <c r="K16" s="35"/>
    </row>
    <row r="17">
      <c r="B17" s="12"/>
      <c r="K17" s="35"/>
    </row>
    <row r="18">
      <c r="A18" s="10"/>
      <c r="B18" s="10" t="s">
        <v>73</v>
      </c>
      <c r="C18" s="24" t="s">
        <v>75</v>
      </c>
      <c r="K18" s="35"/>
    </row>
    <row r="19">
      <c r="A19" s="10"/>
      <c r="B19" s="12"/>
      <c r="K19" s="35"/>
    </row>
    <row r="20">
      <c r="A20" s="10">
        <v>3.0</v>
      </c>
      <c r="B20" s="12"/>
      <c r="C20" s="24" t="s">
        <v>79</v>
      </c>
      <c r="K20" s="35"/>
    </row>
    <row r="21">
      <c r="A21" s="12"/>
      <c r="B21" s="12"/>
      <c r="K21" s="35"/>
    </row>
    <row r="22">
      <c r="A22" s="10">
        <v>4.0</v>
      </c>
      <c r="B22" s="12"/>
      <c r="C22" s="24" t="s">
        <v>84</v>
      </c>
      <c r="K22" s="35"/>
    </row>
    <row r="23">
      <c r="A23" s="10">
        <v>5.0</v>
      </c>
      <c r="B23" s="12"/>
      <c r="C23" s="24" t="s">
        <v>88</v>
      </c>
      <c r="K23" s="35"/>
    </row>
    <row r="24">
      <c r="A24" s="12"/>
      <c r="B24" s="12"/>
      <c r="K24" s="35"/>
    </row>
    <row r="25">
      <c r="A25" s="10"/>
      <c r="B25" s="12"/>
      <c r="C25" s="45" t="s">
        <v>90</v>
      </c>
      <c r="K25" s="35"/>
    </row>
    <row r="26">
      <c r="A26" s="10">
        <v>6.0</v>
      </c>
      <c r="B26" s="12"/>
      <c r="C26" s="10" t="s">
        <v>93</v>
      </c>
      <c r="K26" s="35"/>
    </row>
    <row r="27">
      <c r="A27" s="10"/>
      <c r="B27" s="12"/>
      <c r="C27" s="24" t="s">
        <v>95</v>
      </c>
      <c r="K27" s="35"/>
    </row>
    <row r="28">
      <c r="A28" s="10"/>
      <c r="B28" s="12"/>
      <c r="K28" s="35"/>
    </row>
    <row r="29">
      <c r="A29" s="10"/>
      <c r="B29" s="12"/>
      <c r="K29" s="35"/>
    </row>
    <row r="30">
      <c r="A30" s="10">
        <v>7.0</v>
      </c>
      <c r="B30" s="12"/>
      <c r="C30" s="10" t="s">
        <v>98</v>
      </c>
      <c r="K30" s="35"/>
    </row>
    <row r="31">
      <c r="A31" s="10"/>
      <c r="B31" s="10" t="s">
        <v>51</v>
      </c>
      <c r="C31" s="24" t="s">
        <v>100</v>
      </c>
      <c r="K31" s="35"/>
    </row>
    <row r="32">
      <c r="A32" s="10"/>
      <c r="B32" s="12"/>
      <c r="K32" s="35"/>
    </row>
    <row r="33">
      <c r="A33" s="10"/>
      <c r="B33" s="10" t="s">
        <v>53</v>
      </c>
      <c r="C33" s="24" t="s">
        <v>103</v>
      </c>
      <c r="K33" s="35"/>
    </row>
    <row r="34">
      <c r="A34" s="10"/>
      <c r="B34" s="12"/>
      <c r="K34" s="35"/>
    </row>
    <row r="35">
      <c r="A35" s="10"/>
      <c r="B35" s="10" t="s">
        <v>61</v>
      </c>
      <c r="C35" s="24" t="s">
        <v>106</v>
      </c>
      <c r="K35" s="35"/>
    </row>
    <row r="36">
      <c r="A36" s="10"/>
      <c r="B36" s="12"/>
      <c r="K36" s="35"/>
    </row>
    <row r="37">
      <c r="A37" s="10"/>
      <c r="B37" s="12"/>
      <c r="K37" s="35"/>
    </row>
    <row r="38">
      <c r="A38" s="10"/>
      <c r="B38" s="12"/>
      <c r="K38" s="35"/>
    </row>
    <row r="39">
      <c r="A39" s="10"/>
      <c r="B39" s="12"/>
      <c r="C39" s="45" t="s">
        <v>110</v>
      </c>
      <c r="K39" s="35"/>
    </row>
    <row r="40">
      <c r="A40" s="10">
        <v>8.0</v>
      </c>
      <c r="B40" s="12"/>
      <c r="C40" s="14" t="s">
        <v>115</v>
      </c>
      <c r="K40" s="35"/>
    </row>
    <row r="41">
      <c r="A41" s="12"/>
      <c r="B41" s="10" t="s">
        <v>51</v>
      </c>
      <c r="C41" s="34" t="s">
        <v>117</v>
      </c>
      <c r="K41" s="35"/>
    </row>
    <row r="42">
      <c r="A42" s="12"/>
      <c r="B42" s="10" t="s">
        <v>53</v>
      </c>
      <c r="C42" s="24" t="s">
        <v>118</v>
      </c>
      <c r="K42" s="35"/>
    </row>
    <row r="43">
      <c r="A43" s="12"/>
      <c r="B43" s="12"/>
      <c r="K43" s="35"/>
    </row>
    <row r="44">
      <c r="A44" s="12"/>
      <c r="B44" s="10" t="s">
        <v>61</v>
      </c>
      <c r="C44" s="24" t="s">
        <v>120</v>
      </c>
      <c r="K44" s="35"/>
    </row>
    <row r="45">
      <c r="A45" s="12"/>
      <c r="B45" s="12"/>
      <c r="K45" s="35"/>
    </row>
    <row r="46">
      <c r="A46" s="12"/>
      <c r="B46" s="12"/>
      <c r="K46" s="35"/>
    </row>
    <row r="47">
      <c r="A47" s="12"/>
      <c r="B47" s="12"/>
      <c r="K47" s="35"/>
    </row>
    <row r="48">
      <c r="A48" s="12"/>
      <c r="B48" s="12"/>
      <c r="K48" s="35"/>
    </row>
    <row r="49">
      <c r="A49" s="12"/>
      <c r="B49" s="12"/>
      <c r="K49" s="35"/>
    </row>
    <row r="50">
      <c r="A50" s="12"/>
      <c r="B50" s="12"/>
      <c r="K50" s="35"/>
    </row>
    <row r="51">
      <c r="A51" s="12"/>
      <c r="B51" s="12"/>
      <c r="K51" s="35"/>
    </row>
    <row r="52">
      <c r="A52" s="12"/>
      <c r="B52" s="12"/>
      <c r="K52" s="35"/>
    </row>
    <row r="53">
      <c r="A53" s="12"/>
      <c r="B53" s="12"/>
      <c r="K53" s="35"/>
    </row>
    <row r="54">
      <c r="A54" s="12"/>
      <c r="B54" s="12"/>
      <c r="K54" s="35"/>
    </row>
    <row r="55">
      <c r="A55" s="12"/>
      <c r="B55" s="12"/>
      <c r="K55" s="35"/>
    </row>
    <row r="56">
      <c r="A56" s="12"/>
      <c r="B56" s="12"/>
      <c r="K56" s="35"/>
    </row>
    <row r="57">
      <c r="A57" s="12"/>
      <c r="B57" s="12"/>
      <c r="K57" s="35"/>
    </row>
    <row r="58">
      <c r="A58" s="12"/>
      <c r="B58" s="12"/>
      <c r="K58" s="35"/>
    </row>
    <row r="59">
      <c r="A59" s="12"/>
      <c r="B59" s="12"/>
      <c r="K59" s="35"/>
    </row>
    <row r="60">
      <c r="A60" s="12"/>
      <c r="B60" s="12"/>
      <c r="K60" s="35"/>
    </row>
    <row r="61">
      <c r="A61" s="12"/>
      <c r="B61" s="12"/>
      <c r="K61" s="35"/>
    </row>
    <row r="62">
      <c r="A62" s="12"/>
      <c r="B62" s="12"/>
      <c r="K62" s="35"/>
    </row>
    <row r="63">
      <c r="A63" s="12"/>
      <c r="B63" s="12"/>
      <c r="K63" s="35"/>
    </row>
    <row r="64">
      <c r="A64" s="12"/>
      <c r="B64" s="12"/>
      <c r="K64" s="35"/>
    </row>
    <row r="65">
      <c r="A65" s="12"/>
      <c r="B65" s="12"/>
      <c r="K65" s="35"/>
    </row>
    <row r="66">
      <c r="A66" s="12"/>
      <c r="B66" s="12"/>
      <c r="K66" s="35"/>
    </row>
    <row r="67">
      <c r="A67" s="12"/>
      <c r="B67" s="12"/>
      <c r="K67" s="35"/>
    </row>
    <row r="68">
      <c r="A68" s="12"/>
      <c r="B68" s="12"/>
      <c r="K68" s="35"/>
    </row>
    <row r="69">
      <c r="A69" s="12"/>
      <c r="B69" s="12"/>
      <c r="K69" s="35"/>
    </row>
    <row r="70">
      <c r="A70" s="12"/>
      <c r="B70" s="12"/>
      <c r="K70" s="35"/>
    </row>
    <row r="71">
      <c r="A71" s="12"/>
      <c r="B71" s="12"/>
      <c r="K71" s="35"/>
    </row>
    <row r="72">
      <c r="A72" s="12"/>
      <c r="B72" s="12"/>
      <c r="K72" s="35"/>
    </row>
    <row r="73">
      <c r="A73" s="12"/>
      <c r="B73" s="12"/>
      <c r="K73" s="35"/>
    </row>
    <row r="74">
      <c r="A74" s="12"/>
      <c r="B74" s="12"/>
      <c r="K74" s="35"/>
    </row>
    <row r="75">
      <c r="A75" s="12"/>
      <c r="B75" s="12"/>
      <c r="K75" s="35"/>
    </row>
    <row r="76">
      <c r="A76" s="12"/>
      <c r="B76" s="12"/>
      <c r="K76" s="35"/>
    </row>
    <row r="77">
      <c r="A77" s="12"/>
      <c r="B77" s="12"/>
      <c r="K77" s="35"/>
    </row>
    <row r="78">
      <c r="A78" s="12"/>
      <c r="B78" s="12"/>
      <c r="K78" s="35"/>
    </row>
    <row r="79">
      <c r="A79" s="12"/>
      <c r="B79" s="12"/>
      <c r="K79" s="35"/>
    </row>
    <row r="80">
      <c r="A80" s="12"/>
      <c r="B80" s="12"/>
      <c r="K80" s="35"/>
    </row>
    <row r="81">
      <c r="A81" s="12"/>
      <c r="B81" s="12"/>
      <c r="K81" s="35"/>
    </row>
    <row r="82">
      <c r="A82" s="12"/>
      <c r="B82" s="12"/>
      <c r="K82" s="35"/>
    </row>
    <row r="83">
      <c r="A83" s="12"/>
      <c r="B83" s="12"/>
      <c r="K83" s="35"/>
    </row>
    <row r="84">
      <c r="A84" s="12"/>
      <c r="B84" s="12"/>
      <c r="K84" s="35"/>
    </row>
    <row r="85">
      <c r="A85" s="12"/>
      <c r="B85" s="12"/>
      <c r="K85" s="35"/>
    </row>
    <row r="86">
      <c r="A86" s="12"/>
      <c r="B86" s="12"/>
      <c r="K86" s="35"/>
    </row>
    <row r="87">
      <c r="A87" s="12"/>
      <c r="B87" s="12"/>
      <c r="K87" s="35"/>
    </row>
    <row r="88">
      <c r="A88" s="12"/>
      <c r="B88" s="12"/>
      <c r="K88" s="35"/>
    </row>
    <row r="89">
      <c r="A89" s="12"/>
      <c r="B89" s="12"/>
      <c r="K89" s="35"/>
    </row>
    <row r="90">
      <c r="A90" s="12"/>
      <c r="B90" s="12"/>
      <c r="K90" s="35"/>
    </row>
    <row r="91">
      <c r="A91" s="12"/>
      <c r="B91" s="12"/>
      <c r="K91" s="35"/>
    </row>
    <row r="92">
      <c r="A92" s="12"/>
      <c r="B92" s="12"/>
      <c r="K92" s="35"/>
    </row>
    <row r="93">
      <c r="A93" s="12"/>
      <c r="B93" s="12"/>
      <c r="K93" s="35"/>
    </row>
    <row r="94">
      <c r="A94" s="12"/>
      <c r="B94" s="12"/>
      <c r="K94" s="35"/>
    </row>
    <row r="95">
      <c r="A95" s="12"/>
      <c r="B95" s="12"/>
      <c r="K95" s="35"/>
    </row>
    <row r="96">
      <c r="A96" s="12"/>
      <c r="B96" s="12"/>
      <c r="K96" s="35"/>
    </row>
    <row r="97">
      <c r="A97" s="12"/>
      <c r="B97" s="12"/>
      <c r="K97" s="35"/>
    </row>
    <row r="98">
      <c r="A98" s="12"/>
      <c r="B98" s="12"/>
      <c r="K98" s="35"/>
    </row>
    <row r="99">
      <c r="A99" s="12"/>
      <c r="B99" s="12"/>
      <c r="K99" s="35"/>
    </row>
    <row r="100">
      <c r="A100" s="12"/>
      <c r="B100" s="12"/>
      <c r="K100" s="35"/>
    </row>
    <row r="101">
      <c r="A101" s="12"/>
      <c r="B101" s="12"/>
      <c r="K101" s="35"/>
    </row>
    <row r="102">
      <c r="A102" s="12"/>
      <c r="B102" s="12"/>
      <c r="K102" s="35"/>
    </row>
    <row r="103">
      <c r="A103" s="12"/>
      <c r="B103" s="12"/>
      <c r="K103" s="35"/>
    </row>
    <row r="104">
      <c r="A104" s="12"/>
      <c r="B104" s="12"/>
      <c r="K104" s="35"/>
    </row>
    <row r="105">
      <c r="A105" s="12"/>
      <c r="B105" s="12"/>
      <c r="K105" s="35"/>
    </row>
    <row r="106">
      <c r="A106" s="12"/>
      <c r="B106" s="12"/>
      <c r="K106" s="35"/>
    </row>
    <row r="107">
      <c r="A107" s="12"/>
      <c r="B107" s="12"/>
      <c r="K107" s="35"/>
    </row>
    <row r="108">
      <c r="A108" s="12"/>
      <c r="B108" s="12"/>
      <c r="K108" s="35"/>
    </row>
    <row r="109">
      <c r="A109" s="12"/>
      <c r="B109" s="12"/>
      <c r="K109" s="35"/>
    </row>
    <row r="110">
      <c r="A110" s="12"/>
      <c r="B110" s="12"/>
      <c r="K110" s="35"/>
    </row>
    <row r="111">
      <c r="A111" s="12"/>
      <c r="B111" s="12"/>
      <c r="K111" s="35"/>
    </row>
    <row r="112">
      <c r="A112" s="12"/>
      <c r="B112" s="12"/>
      <c r="K112" s="35"/>
    </row>
    <row r="113">
      <c r="A113" s="12"/>
      <c r="B113" s="12"/>
      <c r="K113" s="35"/>
    </row>
    <row r="114">
      <c r="A114" s="12"/>
      <c r="B114" s="12"/>
      <c r="K114" s="35"/>
    </row>
    <row r="115">
      <c r="A115" s="12"/>
      <c r="B115" s="12"/>
      <c r="K115" s="35"/>
    </row>
    <row r="116">
      <c r="A116" s="12"/>
      <c r="B116" s="12"/>
      <c r="K116" s="35"/>
    </row>
    <row r="117">
      <c r="A117" s="12"/>
      <c r="B117" s="12"/>
      <c r="K117" s="35"/>
    </row>
    <row r="118">
      <c r="A118" s="12"/>
      <c r="B118" s="12"/>
      <c r="K118" s="35"/>
    </row>
    <row r="119">
      <c r="A119" s="12"/>
      <c r="B119" s="12"/>
      <c r="K119" s="35"/>
    </row>
    <row r="120">
      <c r="A120" s="12"/>
      <c r="B120" s="12"/>
      <c r="K120" s="35"/>
    </row>
    <row r="121">
      <c r="A121" s="12"/>
      <c r="B121" s="12"/>
      <c r="K121" s="35"/>
    </row>
    <row r="122">
      <c r="A122" s="12"/>
      <c r="B122" s="12"/>
      <c r="K122" s="35"/>
    </row>
    <row r="123">
      <c r="A123" s="12"/>
      <c r="B123" s="12"/>
      <c r="K123" s="35"/>
    </row>
    <row r="124">
      <c r="A124" s="12"/>
      <c r="B124" s="12"/>
      <c r="K124" s="35"/>
    </row>
    <row r="125">
      <c r="A125" s="12"/>
      <c r="B125" s="12"/>
      <c r="K125" s="35"/>
    </row>
    <row r="126">
      <c r="A126" s="12"/>
      <c r="B126" s="12"/>
      <c r="K126" s="35"/>
    </row>
    <row r="127">
      <c r="A127" s="12"/>
      <c r="B127" s="12"/>
      <c r="K127" s="35"/>
    </row>
    <row r="128">
      <c r="A128" s="12"/>
      <c r="B128" s="12"/>
      <c r="K128" s="35"/>
    </row>
    <row r="129">
      <c r="A129" s="12"/>
      <c r="B129" s="12"/>
      <c r="K129" s="35"/>
    </row>
    <row r="130">
      <c r="A130" s="12"/>
      <c r="B130" s="12"/>
      <c r="K130" s="35"/>
    </row>
    <row r="131">
      <c r="A131" s="12"/>
      <c r="B131" s="12"/>
      <c r="K131" s="35"/>
    </row>
    <row r="132">
      <c r="A132" s="12"/>
      <c r="B132" s="12"/>
      <c r="K132" s="35"/>
    </row>
    <row r="133">
      <c r="A133" s="12"/>
      <c r="B133" s="12"/>
      <c r="K133" s="35"/>
    </row>
    <row r="134">
      <c r="A134" s="12"/>
      <c r="B134" s="12"/>
      <c r="K134" s="35"/>
    </row>
    <row r="135">
      <c r="A135" s="12"/>
      <c r="B135" s="12"/>
      <c r="K135" s="35"/>
    </row>
    <row r="136">
      <c r="A136" s="12"/>
      <c r="B136" s="12"/>
      <c r="K136" s="35"/>
    </row>
    <row r="137">
      <c r="A137" s="12"/>
      <c r="B137" s="12"/>
      <c r="K137" s="35"/>
    </row>
    <row r="138">
      <c r="A138" s="12"/>
      <c r="B138" s="12"/>
      <c r="K138" s="35"/>
    </row>
    <row r="139">
      <c r="A139" s="12"/>
      <c r="B139" s="12"/>
      <c r="K139" s="35"/>
    </row>
    <row r="140">
      <c r="A140" s="12"/>
      <c r="B140" s="12"/>
      <c r="K140" s="35"/>
    </row>
    <row r="141">
      <c r="A141" s="12"/>
      <c r="B141" s="12"/>
      <c r="K141" s="35"/>
    </row>
    <row r="142">
      <c r="A142" s="12"/>
      <c r="B142" s="12"/>
      <c r="K142" s="35"/>
    </row>
    <row r="143">
      <c r="A143" s="12"/>
      <c r="B143" s="12"/>
      <c r="K143" s="35"/>
    </row>
    <row r="144">
      <c r="A144" s="12"/>
      <c r="B144" s="12"/>
      <c r="K144" s="35"/>
    </row>
    <row r="145">
      <c r="A145" s="12"/>
      <c r="B145" s="12"/>
      <c r="K145" s="35"/>
    </row>
    <row r="146">
      <c r="A146" s="12"/>
      <c r="B146" s="12"/>
      <c r="K146" s="35"/>
    </row>
    <row r="147">
      <c r="A147" s="12"/>
      <c r="B147" s="12"/>
      <c r="K147" s="35"/>
    </row>
    <row r="148">
      <c r="A148" s="12"/>
      <c r="B148" s="12"/>
      <c r="K148" s="35"/>
    </row>
    <row r="149">
      <c r="A149" s="12"/>
      <c r="B149" s="12"/>
      <c r="K149" s="35"/>
    </row>
    <row r="150">
      <c r="A150" s="12"/>
      <c r="B150" s="12"/>
      <c r="K150" s="35"/>
    </row>
    <row r="151">
      <c r="A151" s="12"/>
      <c r="B151" s="12"/>
      <c r="K151" s="35"/>
    </row>
    <row r="152">
      <c r="A152" s="12"/>
      <c r="B152" s="12"/>
      <c r="K152" s="35"/>
    </row>
    <row r="153">
      <c r="A153" s="12"/>
      <c r="B153" s="12"/>
      <c r="K153" s="35"/>
    </row>
    <row r="154">
      <c r="A154" s="12"/>
      <c r="B154" s="12"/>
      <c r="K154" s="35"/>
    </row>
    <row r="155">
      <c r="A155" s="12"/>
      <c r="B155" s="12"/>
      <c r="K155" s="35"/>
    </row>
    <row r="156">
      <c r="A156" s="12"/>
      <c r="B156" s="12"/>
      <c r="K156" s="35"/>
    </row>
    <row r="157">
      <c r="A157" s="12"/>
      <c r="B157" s="12"/>
      <c r="K157" s="35"/>
    </row>
    <row r="158">
      <c r="A158" s="12"/>
      <c r="B158" s="12"/>
      <c r="K158" s="35"/>
    </row>
    <row r="159">
      <c r="A159" s="12"/>
      <c r="B159" s="12"/>
      <c r="K159" s="35"/>
    </row>
    <row r="160">
      <c r="A160" s="12"/>
      <c r="B160" s="12"/>
      <c r="K160" s="35"/>
    </row>
    <row r="161">
      <c r="A161" s="12"/>
      <c r="B161" s="12"/>
      <c r="K161" s="35"/>
    </row>
    <row r="162">
      <c r="A162" s="12"/>
      <c r="B162" s="12"/>
      <c r="K162" s="35"/>
    </row>
    <row r="163">
      <c r="A163" s="12"/>
      <c r="B163" s="12"/>
      <c r="K163" s="35"/>
    </row>
    <row r="164">
      <c r="A164" s="12"/>
      <c r="B164" s="12"/>
      <c r="K164" s="35"/>
    </row>
    <row r="165">
      <c r="A165" s="12"/>
      <c r="B165" s="12"/>
      <c r="K165" s="35"/>
    </row>
    <row r="166">
      <c r="A166" s="12"/>
      <c r="B166" s="12"/>
      <c r="K166" s="35"/>
    </row>
    <row r="167">
      <c r="A167" s="12"/>
      <c r="B167" s="12"/>
      <c r="K167" s="35"/>
    </row>
    <row r="168">
      <c r="A168" s="12"/>
      <c r="B168" s="12"/>
      <c r="K168" s="35"/>
    </row>
    <row r="169">
      <c r="A169" s="12"/>
      <c r="B169" s="12"/>
      <c r="K169" s="35"/>
    </row>
    <row r="170">
      <c r="A170" s="12"/>
      <c r="B170" s="12"/>
      <c r="K170" s="35"/>
    </row>
    <row r="171">
      <c r="A171" s="12"/>
      <c r="B171" s="12"/>
      <c r="K171" s="35"/>
    </row>
    <row r="172">
      <c r="A172" s="12"/>
      <c r="B172" s="12"/>
      <c r="K172" s="35"/>
    </row>
    <row r="173">
      <c r="A173" s="12"/>
      <c r="B173" s="12"/>
      <c r="K173" s="35"/>
    </row>
    <row r="174">
      <c r="A174" s="12"/>
      <c r="B174" s="12"/>
      <c r="K174" s="35"/>
    </row>
    <row r="175">
      <c r="A175" s="12"/>
      <c r="B175" s="12"/>
      <c r="K175" s="35"/>
    </row>
    <row r="176">
      <c r="A176" s="12"/>
      <c r="B176" s="12"/>
      <c r="K176" s="35"/>
    </row>
    <row r="177">
      <c r="A177" s="12"/>
      <c r="B177" s="12"/>
      <c r="K177" s="35"/>
    </row>
    <row r="178">
      <c r="A178" s="12"/>
      <c r="B178" s="12"/>
      <c r="K178" s="35"/>
    </row>
    <row r="179">
      <c r="A179" s="12"/>
      <c r="B179" s="12"/>
      <c r="K179" s="35"/>
    </row>
    <row r="180">
      <c r="A180" s="12"/>
      <c r="B180" s="12"/>
      <c r="K180" s="35"/>
    </row>
    <row r="181">
      <c r="A181" s="12"/>
      <c r="B181" s="12"/>
      <c r="K181" s="35"/>
    </row>
    <row r="182">
      <c r="A182" s="12"/>
      <c r="B182" s="12"/>
      <c r="K182" s="35"/>
    </row>
    <row r="183">
      <c r="A183" s="12"/>
      <c r="B183" s="12"/>
      <c r="K183" s="35"/>
    </row>
    <row r="184">
      <c r="A184" s="12"/>
      <c r="B184" s="12"/>
      <c r="K184" s="35"/>
    </row>
    <row r="185">
      <c r="A185" s="12"/>
      <c r="B185" s="12"/>
      <c r="K185" s="35"/>
    </row>
    <row r="186">
      <c r="A186" s="12"/>
      <c r="B186" s="12"/>
      <c r="K186" s="35"/>
    </row>
    <row r="187">
      <c r="A187" s="12"/>
      <c r="B187" s="12"/>
      <c r="K187" s="35"/>
    </row>
    <row r="188">
      <c r="A188" s="12"/>
      <c r="B188" s="12"/>
      <c r="K188" s="35"/>
    </row>
    <row r="189">
      <c r="A189" s="12"/>
      <c r="B189" s="12"/>
      <c r="K189" s="35"/>
    </row>
    <row r="190">
      <c r="A190" s="12"/>
      <c r="B190" s="12"/>
      <c r="K190" s="35"/>
    </row>
    <row r="191">
      <c r="A191" s="12"/>
      <c r="B191" s="12"/>
      <c r="K191" s="35"/>
    </row>
    <row r="192">
      <c r="A192" s="12"/>
      <c r="B192" s="12"/>
      <c r="K192" s="35"/>
    </row>
    <row r="193">
      <c r="A193" s="12"/>
      <c r="B193" s="12"/>
      <c r="K193" s="35"/>
    </row>
    <row r="194">
      <c r="A194" s="12"/>
      <c r="B194" s="12"/>
      <c r="K194" s="35"/>
    </row>
    <row r="195">
      <c r="A195" s="12"/>
      <c r="B195" s="12"/>
      <c r="K195" s="35"/>
    </row>
    <row r="196">
      <c r="A196" s="12"/>
      <c r="B196" s="12"/>
      <c r="K196" s="35"/>
    </row>
    <row r="197">
      <c r="A197" s="12"/>
      <c r="B197" s="12"/>
      <c r="K197" s="35"/>
    </row>
    <row r="198">
      <c r="A198" s="12"/>
      <c r="B198" s="12"/>
      <c r="K198" s="35"/>
    </row>
    <row r="199">
      <c r="A199" s="12"/>
      <c r="B199" s="12"/>
      <c r="K199" s="35"/>
    </row>
    <row r="200">
      <c r="A200" s="12"/>
      <c r="B200" s="12"/>
      <c r="K200" s="35"/>
    </row>
    <row r="201">
      <c r="A201" s="12"/>
      <c r="B201" s="12"/>
      <c r="K201" s="35"/>
    </row>
    <row r="202">
      <c r="A202" s="12"/>
      <c r="B202" s="12"/>
      <c r="K202" s="35"/>
    </row>
    <row r="203">
      <c r="A203" s="12"/>
      <c r="B203" s="12"/>
      <c r="K203" s="35"/>
    </row>
    <row r="204">
      <c r="A204" s="12"/>
      <c r="B204" s="12"/>
      <c r="K204" s="35"/>
    </row>
    <row r="205">
      <c r="A205" s="12"/>
      <c r="B205" s="12"/>
      <c r="K205" s="35"/>
    </row>
    <row r="206">
      <c r="A206" s="12"/>
      <c r="B206" s="12"/>
      <c r="K206" s="35"/>
    </row>
    <row r="207">
      <c r="A207" s="12"/>
      <c r="B207" s="12"/>
      <c r="K207" s="35"/>
    </row>
    <row r="208">
      <c r="A208" s="12"/>
      <c r="B208" s="12"/>
      <c r="K208" s="35"/>
    </row>
    <row r="209">
      <c r="A209" s="12"/>
      <c r="B209" s="12"/>
      <c r="K209" s="35"/>
    </row>
    <row r="210">
      <c r="A210" s="12"/>
      <c r="B210" s="12"/>
      <c r="K210" s="35"/>
    </row>
    <row r="211">
      <c r="A211" s="12"/>
      <c r="B211" s="12"/>
      <c r="K211" s="35"/>
    </row>
    <row r="212">
      <c r="A212" s="12"/>
      <c r="B212" s="12"/>
      <c r="K212" s="35"/>
    </row>
    <row r="213">
      <c r="A213" s="12"/>
      <c r="B213" s="12"/>
      <c r="K213" s="35"/>
    </row>
    <row r="214">
      <c r="A214" s="12"/>
      <c r="B214" s="12"/>
      <c r="K214" s="35"/>
    </row>
    <row r="215">
      <c r="A215" s="12"/>
      <c r="B215" s="12"/>
      <c r="K215" s="35"/>
    </row>
    <row r="216">
      <c r="A216" s="12"/>
      <c r="B216" s="12"/>
      <c r="K216" s="35"/>
    </row>
    <row r="217">
      <c r="A217" s="12"/>
      <c r="B217" s="12"/>
      <c r="K217" s="35"/>
    </row>
    <row r="218">
      <c r="A218" s="12"/>
      <c r="B218" s="12"/>
      <c r="K218" s="35"/>
    </row>
    <row r="219">
      <c r="A219" s="12"/>
      <c r="B219" s="12"/>
      <c r="K219" s="35"/>
    </row>
    <row r="220">
      <c r="A220" s="12"/>
      <c r="B220" s="12"/>
      <c r="K220" s="35"/>
    </row>
    <row r="221">
      <c r="A221" s="12"/>
      <c r="B221" s="12"/>
      <c r="K221" s="35"/>
    </row>
    <row r="222">
      <c r="A222" s="12"/>
      <c r="B222" s="12"/>
      <c r="K222" s="35"/>
    </row>
    <row r="223">
      <c r="A223" s="12"/>
      <c r="B223" s="12"/>
      <c r="K223" s="35"/>
    </row>
    <row r="224">
      <c r="A224" s="12"/>
      <c r="B224" s="12"/>
      <c r="K224" s="35"/>
    </row>
    <row r="225">
      <c r="A225" s="12"/>
      <c r="B225" s="12"/>
      <c r="K225" s="35"/>
    </row>
    <row r="226">
      <c r="A226" s="12"/>
      <c r="B226" s="12"/>
      <c r="K226" s="35"/>
    </row>
    <row r="227">
      <c r="A227" s="12"/>
      <c r="B227" s="12"/>
      <c r="K227" s="35"/>
    </row>
    <row r="228">
      <c r="A228" s="12"/>
      <c r="B228" s="12"/>
      <c r="K228" s="35"/>
    </row>
    <row r="229">
      <c r="A229" s="12"/>
      <c r="B229" s="12"/>
      <c r="K229" s="35"/>
    </row>
    <row r="230">
      <c r="A230" s="12"/>
      <c r="B230" s="12"/>
      <c r="K230" s="35"/>
    </row>
    <row r="231">
      <c r="A231" s="12"/>
      <c r="B231" s="12"/>
      <c r="K231" s="35"/>
    </row>
    <row r="232">
      <c r="A232" s="12"/>
      <c r="B232" s="12"/>
      <c r="K232" s="35"/>
    </row>
    <row r="233">
      <c r="A233" s="12"/>
      <c r="B233" s="12"/>
      <c r="K233" s="35"/>
    </row>
    <row r="234">
      <c r="A234" s="12"/>
      <c r="B234" s="12"/>
      <c r="K234" s="35"/>
    </row>
    <row r="235">
      <c r="A235" s="12"/>
      <c r="B235" s="12"/>
      <c r="K235" s="35"/>
    </row>
    <row r="236">
      <c r="A236" s="12"/>
      <c r="B236" s="12"/>
      <c r="K236" s="35"/>
    </row>
    <row r="237">
      <c r="A237" s="12"/>
      <c r="B237" s="12"/>
      <c r="K237" s="35"/>
    </row>
    <row r="238">
      <c r="A238" s="12"/>
      <c r="B238" s="12"/>
      <c r="K238" s="35"/>
    </row>
    <row r="239">
      <c r="A239" s="12"/>
      <c r="B239" s="12"/>
      <c r="K239" s="35"/>
    </row>
    <row r="240">
      <c r="A240" s="12"/>
      <c r="B240" s="12"/>
      <c r="K240" s="35"/>
    </row>
    <row r="241">
      <c r="A241" s="12"/>
      <c r="B241" s="12"/>
      <c r="K241" s="35"/>
    </row>
    <row r="242">
      <c r="A242" s="12"/>
      <c r="B242" s="12"/>
      <c r="K242" s="35"/>
    </row>
    <row r="243">
      <c r="A243" s="12"/>
      <c r="B243" s="12"/>
      <c r="K243" s="35"/>
    </row>
    <row r="244">
      <c r="A244" s="12"/>
      <c r="B244" s="12"/>
      <c r="K244" s="35"/>
    </row>
    <row r="245">
      <c r="A245" s="12"/>
      <c r="B245" s="12"/>
      <c r="K245" s="35"/>
    </row>
    <row r="246">
      <c r="A246" s="12"/>
      <c r="B246" s="12"/>
      <c r="K246" s="35"/>
    </row>
    <row r="247">
      <c r="A247" s="12"/>
      <c r="B247" s="12"/>
      <c r="K247" s="35"/>
    </row>
    <row r="248">
      <c r="A248" s="12"/>
      <c r="B248" s="12"/>
      <c r="K248" s="35"/>
    </row>
    <row r="249">
      <c r="A249" s="12"/>
      <c r="B249" s="12"/>
      <c r="K249" s="35"/>
    </row>
    <row r="250">
      <c r="A250" s="12"/>
      <c r="B250" s="12"/>
      <c r="K250" s="35"/>
    </row>
    <row r="251">
      <c r="A251" s="12"/>
      <c r="B251" s="12"/>
      <c r="K251" s="35"/>
    </row>
    <row r="252">
      <c r="A252" s="12"/>
      <c r="B252" s="12"/>
      <c r="K252" s="35"/>
    </row>
    <row r="253">
      <c r="A253" s="12"/>
      <c r="B253" s="12"/>
      <c r="K253" s="35"/>
    </row>
    <row r="254">
      <c r="A254" s="12"/>
      <c r="B254" s="12"/>
      <c r="K254" s="35"/>
    </row>
    <row r="255">
      <c r="A255" s="12"/>
      <c r="B255" s="12"/>
      <c r="K255" s="35"/>
    </row>
    <row r="256">
      <c r="A256" s="12"/>
      <c r="B256" s="12"/>
      <c r="K256" s="35"/>
    </row>
    <row r="257">
      <c r="A257" s="12"/>
      <c r="B257" s="12"/>
      <c r="K257" s="35"/>
    </row>
    <row r="258">
      <c r="A258" s="12"/>
      <c r="B258" s="12"/>
      <c r="K258" s="35"/>
    </row>
    <row r="259">
      <c r="A259" s="12"/>
      <c r="B259" s="12"/>
      <c r="K259" s="35"/>
    </row>
    <row r="260">
      <c r="A260" s="12"/>
      <c r="B260" s="12"/>
      <c r="K260" s="35"/>
    </row>
    <row r="261">
      <c r="A261" s="12"/>
      <c r="B261" s="12"/>
      <c r="K261" s="35"/>
    </row>
    <row r="262">
      <c r="A262" s="12"/>
      <c r="B262" s="12"/>
      <c r="K262" s="35"/>
    </row>
    <row r="263">
      <c r="A263" s="12"/>
      <c r="B263" s="12"/>
      <c r="K263" s="35"/>
    </row>
    <row r="264">
      <c r="A264" s="12"/>
      <c r="B264" s="12"/>
      <c r="K264" s="35"/>
    </row>
    <row r="265">
      <c r="A265" s="12"/>
      <c r="B265" s="12"/>
      <c r="K265" s="35"/>
    </row>
    <row r="266">
      <c r="A266" s="12"/>
      <c r="B266" s="12"/>
      <c r="K266" s="35"/>
    </row>
    <row r="267">
      <c r="A267" s="12"/>
      <c r="B267" s="12"/>
      <c r="K267" s="35"/>
    </row>
    <row r="268">
      <c r="A268" s="12"/>
      <c r="B268" s="12"/>
      <c r="K268" s="35"/>
    </row>
    <row r="269">
      <c r="A269" s="12"/>
      <c r="B269" s="12"/>
      <c r="K269" s="35"/>
    </row>
    <row r="270">
      <c r="A270" s="12"/>
      <c r="B270" s="12"/>
      <c r="K270" s="35"/>
    </row>
    <row r="271">
      <c r="A271" s="12"/>
      <c r="B271" s="12"/>
      <c r="K271" s="35"/>
    </row>
    <row r="272">
      <c r="A272" s="12"/>
      <c r="B272" s="12"/>
      <c r="K272" s="35"/>
    </row>
    <row r="273">
      <c r="A273" s="12"/>
      <c r="B273" s="12"/>
      <c r="K273" s="35"/>
    </row>
    <row r="274">
      <c r="A274" s="12"/>
      <c r="B274" s="12"/>
      <c r="K274" s="35"/>
    </row>
    <row r="275">
      <c r="A275" s="12"/>
      <c r="B275" s="12"/>
      <c r="K275" s="35"/>
    </row>
    <row r="276">
      <c r="A276" s="12"/>
      <c r="B276" s="12"/>
      <c r="K276" s="35"/>
    </row>
    <row r="277">
      <c r="A277" s="12"/>
      <c r="B277" s="12"/>
      <c r="K277" s="35"/>
    </row>
    <row r="278">
      <c r="A278" s="12"/>
      <c r="B278" s="12"/>
      <c r="K278" s="35"/>
    </row>
    <row r="279">
      <c r="A279" s="12"/>
      <c r="B279" s="12"/>
      <c r="K279" s="35"/>
    </row>
    <row r="280">
      <c r="A280" s="12"/>
      <c r="B280" s="12"/>
      <c r="K280" s="35"/>
    </row>
    <row r="281">
      <c r="A281" s="12"/>
      <c r="B281" s="12"/>
      <c r="K281" s="35"/>
    </row>
    <row r="282">
      <c r="A282" s="12"/>
      <c r="B282" s="12"/>
      <c r="K282" s="35"/>
    </row>
    <row r="283">
      <c r="A283" s="12"/>
      <c r="B283" s="12"/>
      <c r="K283" s="35"/>
    </row>
    <row r="284">
      <c r="A284" s="12"/>
      <c r="B284" s="12"/>
      <c r="K284" s="35"/>
    </row>
    <row r="285">
      <c r="A285" s="12"/>
      <c r="B285" s="12"/>
      <c r="K285" s="35"/>
    </row>
    <row r="286">
      <c r="A286" s="12"/>
      <c r="B286" s="12"/>
      <c r="K286" s="35"/>
    </row>
    <row r="287">
      <c r="A287" s="12"/>
      <c r="B287" s="12"/>
      <c r="K287" s="35"/>
    </row>
    <row r="288">
      <c r="A288" s="12"/>
      <c r="B288" s="12"/>
      <c r="K288" s="35"/>
    </row>
    <row r="289">
      <c r="A289" s="12"/>
      <c r="B289" s="12"/>
      <c r="K289" s="35"/>
    </row>
    <row r="290">
      <c r="A290" s="12"/>
      <c r="B290" s="12"/>
      <c r="K290" s="35"/>
    </row>
    <row r="291">
      <c r="A291" s="12"/>
      <c r="B291" s="12"/>
      <c r="K291" s="35"/>
    </row>
    <row r="292">
      <c r="A292" s="12"/>
      <c r="B292" s="12"/>
      <c r="K292" s="35"/>
    </row>
    <row r="293">
      <c r="A293" s="12"/>
      <c r="B293" s="12"/>
      <c r="K293" s="35"/>
    </row>
    <row r="294">
      <c r="A294" s="12"/>
      <c r="B294" s="12"/>
      <c r="K294" s="35"/>
    </row>
    <row r="295">
      <c r="A295" s="12"/>
      <c r="B295" s="12"/>
      <c r="K295" s="35"/>
    </row>
    <row r="296">
      <c r="A296" s="12"/>
      <c r="B296" s="12"/>
      <c r="K296" s="35"/>
    </row>
    <row r="297">
      <c r="A297" s="12"/>
      <c r="B297" s="12"/>
      <c r="K297" s="35"/>
    </row>
    <row r="298">
      <c r="A298" s="12"/>
      <c r="B298" s="12"/>
      <c r="K298" s="35"/>
    </row>
    <row r="299">
      <c r="A299" s="12"/>
      <c r="B299" s="12"/>
      <c r="K299" s="35"/>
    </row>
    <row r="300">
      <c r="A300" s="12"/>
      <c r="B300" s="12"/>
      <c r="K300" s="35"/>
    </row>
    <row r="301">
      <c r="A301" s="12"/>
      <c r="B301" s="12"/>
      <c r="K301" s="35"/>
    </row>
    <row r="302">
      <c r="A302" s="12"/>
      <c r="B302" s="12"/>
      <c r="K302" s="35"/>
    </row>
    <row r="303">
      <c r="A303" s="12"/>
      <c r="B303" s="12"/>
      <c r="K303" s="35"/>
    </row>
    <row r="304">
      <c r="A304" s="12"/>
      <c r="B304" s="12"/>
      <c r="K304" s="35"/>
    </row>
    <row r="305">
      <c r="A305" s="12"/>
      <c r="B305" s="12"/>
      <c r="K305" s="35"/>
    </row>
    <row r="306">
      <c r="A306" s="12"/>
      <c r="B306" s="12"/>
      <c r="K306" s="35"/>
    </row>
    <row r="307">
      <c r="A307" s="12"/>
      <c r="B307" s="12"/>
      <c r="K307" s="35"/>
    </row>
    <row r="308">
      <c r="A308" s="12"/>
      <c r="B308" s="12"/>
      <c r="K308" s="35"/>
    </row>
    <row r="309">
      <c r="A309" s="12"/>
      <c r="B309" s="12"/>
      <c r="K309" s="35"/>
    </row>
    <row r="310">
      <c r="A310" s="12"/>
      <c r="B310" s="12"/>
      <c r="K310" s="35"/>
    </row>
    <row r="311">
      <c r="A311" s="12"/>
      <c r="B311" s="12"/>
      <c r="K311" s="35"/>
    </row>
    <row r="312">
      <c r="A312" s="12"/>
      <c r="B312" s="12"/>
      <c r="K312" s="35"/>
    </row>
    <row r="313">
      <c r="A313" s="12"/>
      <c r="B313" s="12"/>
      <c r="K313" s="35"/>
    </row>
    <row r="314">
      <c r="A314" s="12"/>
      <c r="B314" s="12"/>
      <c r="K314" s="35"/>
    </row>
    <row r="315">
      <c r="A315" s="12"/>
      <c r="B315" s="12"/>
      <c r="K315" s="35"/>
    </row>
    <row r="316">
      <c r="A316" s="12"/>
      <c r="B316" s="12"/>
      <c r="K316" s="35"/>
    </row>
    <row r="317">
      <c r="A317" s="12"/>
      <c r="B317" s="12"/>
      <c r="K317" s="35"/>
    </row>
    <row r="318">
      <c r="A318" s="12"/>
      <c r="B318" s="12"/>
      <c r="K318" s="35"/>
    </row>
    <row r="319">
      <c r="A319" s="12"/>
      <c r="B319" s="12"/>
      <c r="K319" s="35"/>
    </row>
    <row r="320">
      <c r="A320" s="12"/>
      <c r="B320" s="12"/>
      <c r="K320" s="35"/>
    </row>
    <row r="321">
      <c r="A321" s="12"/>
      <c r="B321" s="12"/>
      <c r="K321" s="35"/>
    </row>
    <row r="322">
      <c r="A322" s="12"/>
      <c r="B322" s="12"/>
      <c r="K322" s="35"/>
    </row>
    <row r="323">
      <c r="A323" s="12"/>
      <c r="B323" s="12"/>
      <c r="K323" s="35"/>
    </row>
    <row r="324">
      <c r="A324" s="12"/>
      <c r="B324" s="12"/>
      <c r="K324" s="35"/>
    </row>
    <row r="325">
      <c r="A325" s="12"/>
      <c r="B325" s="12"/>
      <c r="K325" s="35"/>
    </row>
    <row r="326">
      <c r="A326" s="12"/>
      <c r="B326" s="12"/>
      <c r="K326" s="35"/>
    </row>
    <row r="327">
      <c r="A327" s="12"/>
      <c r="B327" s="12"/>
      <c r="K327" s="35"/>
    </row>
    <row r="328">
      <c r="A328" s="12"/>
      <c r="B328" s="12"/>
      <c r="K328" s="35"/>
    </row>
    <row r="329">
      <c r="A329" s="12"/>
      <c r="B329" s="12"/>
      <c r="K329" s="35"/>
    </row>
    <row r="330">
      <c r="A330" s="12"/>
      <c r="B330" s="12"/>
      <c r="K330" s="35"/>
    </row>
    <row r="331">
      <c r="A331" s="12"/>
      <c r="B331" s="12"/>
      <c r="K331" s="35"/>
    </row>
    <row r="332">
      <c r="A332" s="12"/>
      <c r="B332" s="12"/>
      <c r="K332" s="35"/>
    </row>
    <row r="333">
      <c r="A333" s="12"/>
      <c r="B333" s="12"/>
      <c r="K333" s="35"/>
    </row>
    <row r="334">
      <c r="A334" s="12"/>
      <c r="B334" s="12"/>
      <c r="K334" s="35"/>
    </row>
    <row r="335">
      <c r="A335" s="12"/>
      <c r="B335" s="12"/>
      <c r="K335" s="35"/>
    </row>
    <row r="336">
      <c r="A336" s="12"/>
      <c r="B336" s="12"/>
      <c r="K336" s="35"/>
    </row>
    <row r="337">
      <c r="A337" s="12"/>
      <c r="B337" s="12"/>
      <c r="K337" s="35"/>
    </row>
    <row r="338">
      <c r="A338" s="12"/>
      <c r="B338" s="12"/>
      <c r="K338" s="35"/>
    </row>
    <row r="339">
      <c r="A339" s="12"/>
      <c r="B339" s="12"/>
      <c r="K339" s="35"/>
    </row>
    <row r="340">
      <c r="A340" s="12"/>
      <c r="B340" s="12"/>
      <c r="K340" s="35"/>
    </row>
    <row r="341">
      <c r="A341" s="12"/>
      <c r="B341" s="12"/>
      <c r="K341" s="35"/>
    </row>
    <row r="342">
      <c r="A342" s="12"/>
      <c r="B342" s="12"/>
      <c r="K342" s="35"/>
    </row>
    <row r="343">
      <c r="A343" s="12"/>
      <c r="B343" s="12"/>
      <c r="K343" s="35"/>
    </row>
    <row r="344">
      <c r="A344" s="12"/>
      <c r="B344" s="12"/>
      <c r="K344" s="35"/>
    </row>
    <row r="345">
      <c r="A345" s="12"/>
      <c r="B345" s="12"/>
      <c r="K345" s="35"/>
    </row>
    <row r="346">
      <c r="A346" s="12"/>
      <c r="B346" s="12"/>
      <c r="K346" s="35"/>
    </row>
    <row r="347">
      <c r="A347" s="12"/>
      <c r="B347" s="12"/>
      <c r="K347" s="35"/>
    </row>
    <row r="348">
      <c r="A348" s="12"/>
      <c r="B348" s="12"/>
      <c r="K348" s="35"/>
    </row>
    <row r="349">
      <c r="A349" s="12"/>
      <c r="B349" s="12"/>
      <c r="K349" s="35"/>
    </row>
    <row r="350">
      <c r="A350" s="12"/>
      <c r="B350" s="12"/>
      <c r="K350" s="35"/>
    </row>
    <row r="351">
      <c r="A351" s="12"/>
      <c r="B351" s="12"/>
      <c r="K351" s="35"/>
    </row>
    <row r="352">
      <c r="A352" s="12"/>
      <c r="B352" s="12"/>
      <c r="K352" s="35"/>
    </row>
    <row r="353">
      <c r="A353" s="12"/>
      <c r="B353" s="12"/>
      <c r="K353" s="35"/>
    </row>
    <row r="354">
      <c r="A354" s="12"/>
      <c r="B354" s="12"/>
      <c r="K354" s="35"/>
    </row>
    <row r="355">
      <c r="A355" s="12"/>
      <c r="B355" s="12"/>
      <c r="K355" s="35"/>
    </row>
    <row r="356">
      <c r="A356" s="12"/>
      <c r="B356" s="12"/>
      <c r="K356" s="35"/>
    </row>
    <row r="357">
      <c r="A357" s="12"/>
      <c r="B357" s="12"/>
      <c r="K357" s="35"/>
    </row>
    <row r="358">
      <c r="A358" s="12"/>
      <c r="B358" s="12"/>
      <c r="K358" s="35"/>
    </row>
    <row r="359">
      <c r="A359" s="12"/>
      <c r="B359" s="12"/>
      <c r="K359" s="35"/>
    </row>
    <row r="360">
      <c r="A360" s="12"/>
      <c r="B360" s="12"/>
      <c r="K360" s="35"/>
    </row>
    <row r="361">
      <c r="A361" s="12"/>
      <c r="B361" s="12"/>
      <c r="K361" s="35"/>
    </row>
    <row r="362">
      <c r="A362" s="12"/>
      <c r="B362" s="12"/>
      <c r="K362" s="35"/>
    </row>
    <row r="363">
      <c r="A363" s="12"/>
      <c r="B363" s="12"/>
      <c r="K363" s="35"/>
    </row>
    <row r="364">
      <c r="A364" s="12"/>
      <c r="B364" s="12"/>
      <c r="K364" s="35"/>
    </row>
    <row r="365">
      <c r="A365" s="12"/>
      <c r="B365" s="12"/>
      <c r="K365" s="35"/>
    </row>
    <row r="366">
      <c r="A366" s="12"/>
      <c r="B366" s="12"/>
      <c r="K366" s="35"/>
    </row>
    <row r="367">
      <c r="A367" s="12"/>
      <c r="B367" s="12"/>
      <c r="K367" s="35"/>
    </row>
    <row r="368">
      <c r="A368" s="12"/>
      <c r="B368" s="12"/>
      <c r="K368" s="35"/>
    </row>
    <row r="369">
      <c r="A369" s="12"/>
      <c r="B369" s="12"/>
      <c r="K369" s="35"/>
    </row>
    <row r="370">
      <c r="A370" s="12"/>
      <c r="B370" s="12"/>
      <c r="K370" s="35"/>
    </row>
    <row r="371">
      <c r="A371" s="12"/>
      <c r="B371" s="12"/>
      <c r="K371" s="35"/>
    </row>
    <row r="372">
      <c r="A372" s="12"/>
      <c r="B372" s="12"/>
      <c r="K372" s="35"/>
    </row>
    <row r="373">
      <c r="A373" s="12"/>
      <c r="B373" s="12"/>
      <c r="K373" s="35"/>
    </row>
    <row r="374">
      <c r="A374" s="12"/>
      <c r="B374" s="12"/>
      <c r="K374" s="35"/>
    </row>
    <row r="375">
      <c r="A375" s="12"/>
      <c r="B375" s="12"/>
      <c r="K375" s="35"/>
    </row>
    <row r="376">
      <c r="A376" s="12"/>
      <c r="B376" s="12"/>
      <c r="K376" s="35"/>
    </row>
    <row r="377">
      <c r="A377" s="12"/>
      <c r="B377" s="12"/>
      <c r="K377" s="35"/>
    </row>
    <row r="378">
      <c r="A378" s="12"/>
      <c r="B378" s="12"/>
      <c r="K378" s="35"/>
    </row>
    <row r="379">
      <c r="A379" s="12"/>
      <c r="B379" s="12"/>
      <c r="K379" s="35"/>
    </row>
    <row r="380">
      <c r="A380" s="12"/>
      <c r="B380" s="12"/>
      <c r="K380" s="35"/>
    </row>
    <row r="381">
      <c r="A381" s="12"/>
      <c r="B381" s="12"/>
      <c r="K381" s="35"/>
    </row>
    <row r="382">
      <c r="A382" s="12"/>
      <c r="B382" s="12"/>
      <c r="K382" s="35"/>
    </row>
    <row r="383">
      <c r="A383" s="12"/>
      <c r="B383" s="12"/>
      <c r="K383" s="35"/>
    </row>
    <row r="384">
      <c r="A384" s="12"/>
      <c r="B384" s="12"/>
      <c r="K384" s="35"/>
    </row>
    <row r="385">
      <c r="A385" s="12"/>
      <c r="B385" s="12"/>
      <c r="K385" s="35"/>
    </row>
    <row r="386">
      <c r="A386" s="12"/>
      <c r="B386" s="12"/>
      <c r="K386" s="35"/>
    </row>
    <row r="387">
      <c r="A387" s="12"/>
      <c r="B387" s="12"/>
      <c r="K387" s="35"/>
    </row>
    <row r="388">
      <c r="A388" s="12"/>
      <c r="B388" s="12"/>
      <c r="K388" s="35"/>
    </row>
    <row r="389">
      <c r="A389" s="12"/>
      <c r="B389" s="12"/>
      <c r="K389" s="35"/>
    </row>
    <row r="390">
      <c r="A390" s="12"/>
      <c r="B390" s="12"/>
      <c r="K390" s="35"/>
    </row>
    <row r="391">
      <c r="A391" s="12"/>
      <c r="B391" s="12"/>
      <c r="K391" s="35"/>
    </row>
    <row r="392">
      <c r="A392" s="12"/>
      <c r="B392" s="12"/>
      <c r="K392" s="35"/>
    </row>
    <row r="393">
      <c r="A393" s="12"/>
      <c r="B393" s="12"/>
      <c r="K393" s="35"/>
    </row>
    <row r="394">
      <c r="A394" s="12"/>
      <c r="B394" s="12"/>
      <c r="K394" s="35"/>
    </row>
    <row r="395">
      <c r="A395" s="12"/>
      <c r="B395" s="12"/>
      <c r="K395" s="35"/>
    </row>
    <row r="396">
      <c r="A396" s="12"/>
      <c r="B396" s="12"/>
      <c r="K396" s="35"/>
    </row>
    <row r="397">
      <c r="A397" s="12"/>
      <c r="B397" s="12"/>
      <c r="K397" s="35"/>
    </row>
    <row r="398">
      <c r="A398" s="12"/>
      <c r="B398" s="12"/>
      <c r="K398" s="35"/>
    </row>
    <row r="399">
      <c r="A399" s="12"/>
      <c r="B399" s="12"/>
      <c r="K399" s="35"/>
    </row>
    <row r="400">
      <c r="A400" s="12"/>
      <c r="B400" s="12"/>
      <c r="K400" s="35"/>
    </row>
    <row r="401">
      <c r="A401" s="12"/>
      <c r="B401" s="12"/>
      <c r="K401" s="35"/>
    </row>
    <row r="402">
      <c r="A402" s="12"/>
      <c r="B402" s="12"/>
      <c r="K402" s="35"/>
    </row>
    <row r="403">
      <c r="A403" s="12"/>
      <c r="B403" s="12"/>
      <c r="K403" s="35"/>
    </row>
    <row r="404">
      <c r="A404" s="12"/>
      <c r="B404" s="12"/>
      <c r="K404" s="35"/>
    </row>
    <row r="405">
      <c r="A405" s="12"/>
      <c r="B405" s="12"/>
      <c r="K405" s="35"/>
    </row>
    <row r="406">
      <c r="A406" s="12"/>
      <c r="B406" s="12"/>
      <c r="K406" s="35"/>
    </row>
    <row r="407">
      <c r="A407" s="12"/>
      <c r="B407" s="12"/>
      <c r="K407" s="35"/>
    </row>
    <row r="408">
      <c r="A408" s="12"/>
      <c r="B408" s="12"/>
      <c r="K408" s="35"/>
    </row>
    <row r="409">
      <c r="A409" s="12"/>
      <c r="B409" s="12"/>
      <c r="K409" s="35"/>
    </row>
    <row r="410">
      <c r="A410" s="12"/>
      <c r="B410" s="12"/>
      <c r="K410" s="35"/>
    </row>
    <row r="411">
      <c r="A411" s="12"/>
      <c r="B411" s="12"/>
      <c r="K411" s="35"/>
    </row>
    <row r="412">
      <c r="A412" s="12"/>
      <c r="B412" s="12"/>
      <c r="K412" s="35"/>
    </row>
    <row r="413">
      <c r="A413" s="12"/>
      <c r="B413" s="12"/>
      <c r="K413" s="35"/>
    </row>
    <row r="414">
      <c r="A414" s="12"/>
      <c r="B414" s="12"/>
      <c r="K414" s="35"/>
    </row>
    <row r="415">
      <c r="A415" s="12"/>
      <c r="B415" s="12"/>
      <c r="K415" s="35"/>
    </row>
    <row r="416">
      <c r="A416" s="12"/>
      <c r="B416" s="12"/>
      <c r="K416" s="35"/>
    </row>
    <row r="417">
      <c r="A417" s="12"/>
      <c r="B417" s="12"/>
      <c r="K417" s="35"/>
    </row>
    <row r="418">
      <c r="A418" s="12"/>
      <c r="B418" s="12"/>
      <c r="K418" s="35"/>
    </row>
    <row r="419">
      <c r="A419" s="12"/>
      <c r="B419" s="12"/>
      <c r="K419" s="35"/>
    </row>
    <row r="420">
      <c r="A420" s="12"/>
      <c r="B420" s="12"/>
      <c r="K420" s="35"/>
    </row>
    <row r="421">
      <c r="A421" s="12"/>
      <c r="B421" s="12"/>
      <c r="K421" s="35"/>
    </row>
    <row r="422">
      <c r="A422" s="12"/>
      <c r="B422" s="12"/>
      <c r="K422" s="35"/>
    </row>
    <row r="423">
      <c r="A423" s="12"/>
      <c r="B423" s="12"/>
      <c r="K423" s="35"/>
    </row>
    <row r="424">
      <c r="A424" s="12"/>
      <c r="B424" s="12"/>
      <c r="K424" s="35"/>
    </row>
    <row r="425">
      <c r="A425" s="12"/>
      <c r="B425" s="12"/>
      <c r="K425" s="35"/>
    </row>
    <row r="426">
      <c r="A426" s="12"/>
      <c r="B426" s="12"/>
      <c r="K426" s="35"/>
    </row>
    <row r="427">
      <c r="A427" s="12"/>
      <c r="B427" s="12"/>
      <c r="K427" s="35"/>
    </row>
    <row r="428">
      <c r="A428" s="12"/>
      <c r="B428" s="12"/>
      <c r="K428" s="35"/>
    </row>
    <row r="429">
      <c r="A429" s="12"/>
      <c r="B429" s="12"/>
      <c r="K429" s="35"/>
    </row>
    <row r="430">
      <c r="A430" s="12"/>
      <c r="B430" s="12"/>
      <c r="K430" s="35"/>
    </row>
    <row r="431">
      <c r="A431" s="12"/>
      <c r="B431" s="12"/>
      <c r="K431" s="35"/>
    </row>
    <row r="432">
      <c r="A432" s="12"/>
      <c r="B432" s="12"/>
      <c r="K432" s="35"/>
    </row>
    <row r="433">
      <c r="A433" s="12"/>
      <c r="B433" s="12"/>
      <c r="K433" s="35"/>
    </row>
    <row r="434">
      <c r="A434" s="12"/>
      <c r="B434" s="12"/>
      <c r="K434" s="35"/>
    </row>
    <row r="435">
      <c r="A435" s="12"/>
      <c r="B435" s="12"/>
      <c r="K435" s="35"/>
    </row>
    <row r="436">
      <c r="A436" s="12"/>
      <c r="B436" s="12"/>
      <c r="K436" s="35"/>
    </row>
    <row r="437">
      <c r="A437" s="12"/>
      <c r="B437" s="12"/>
      <c r="K437" s="35"/>
    </row>
    <row r="438">
      <c r="A438" s="12"/>
      <c r="B438" s="12"/>
      <c r="K438" s="35"/>
    </row>
    <row r="439">
      <c r="A439" s="12"/>
      <c r="B439" s="12"/>
      <c r="K439" s="35"/>
    </row>
    <row r="440">
      <c r="A440" s="12"/>
      <c r="B440" s="12"/>
      <c r="K440" s="35"/>
    </row>
    <row r="441">
      <c r="A441" s="12"/>
      <c r="B441" s="12"/>
      <c r="K441" s="35"/>
    </row>
    <row r="442">
      <c r="A442" s="12"/>
      <c r="B442" s="12"/>
      <c r="K442" s="35"/>
    </row>
    <row r="443">
      <c r="A443" s="12"/>
      <c r="B443" s="12"/>
      <c r="K443" s="35"/>
    </row>
    <row r="444">
      <c r="A444" s="12"/>
      <c r="B444" s="12"/>
      <c r="K444" s="35"/>
    </row>
    <row r="445">
      <c r="A445" s="12"/>
      <c r="B445" s="12"/>
      <c r="K445" s="35"/>
    </row>
    <row r="446">
      <c r="A446" s="12"/>
      <c r="B446" s="12"/>
      <c r="K446" s="35"/>
    </row>
    <row r="447">
      <c r="A447" s="12"/>
      <c r="B447" s="12"/>
      <c r="K447" s="35"/>
    </row>
    <row r="448">
      <c r="A448" s="12"/>
      <c r="B448" s="12"/>
      <c r="K448" s="35"/>
    </row>
    <row r="449">
      <c r="A449" s="12"/>
      <c r="B449" s="12"/>
      <c r="K449" s="35"/>
    </row>
    <row r="450">
      <c r="A450" s="12"/>
      <c r="B450" s="12"/>
      <c r="K450" s="35"/>
    </row>
    <row r="451">
      <c r="A451" s="12"/>
      <c r="B451" s="12"/>
      <c r="K451" s="35"/>
    </row>
    <row r="452">
      <c r="A452" s="12"/>
      <c r="B452" s="12"/>
      <c r="K452" s="35"/>
    </row>
    <row r="453">
      <c r="A453" s="12"/>
      <c r="B453" s="12"/>
      <c r="K453" s="35"/>
    </row>
    <row r="454">
      <c r="A454" s="12"/>
      <c r="B454" s="12"/>
      <c r="K454" s="35"/>
    </row>
    <row r="455">
      <c r="A455" s="12"/>
      <c r="B455" s="12"/>
      <c r="K455" s="35"/>
    </row>
    <row r="456">
      <c r="A456" s="12"/>
      <c r="B456" s="12"/>
      <c r="K456" s="35"/>
    </row>
    <row r="457">
      <c r="A457" s="12"/>
      <c r="B457" s="12"/>
      <c r="K457" s="35"/>
    </row>
    <row r="458">
      <c r="A458" s="12"/>
      <c r="B458" s="12"/>
      <c r="K458" s="35"/>
    </row>
    <row r="459">
      <c r="A459" s="12"/>
      <c r="B459" s="12"/>
      <c r="K459" s="35"/>
    </row>
    <row r="460">
      <c r="A460" s="12"/>
      <c r="B460" s="12"/>
      <c r="K460" s="35"/>
    </row>
    <row r="461">
      <c r="A461" s="12"/>
      <c r="B461" s="12"/>
      <c r="K461" s="35"/>
    </row>
    <row r="462">
      <c r="A462" s="12"/>
      <c r="B462" s="12"/>
      <c r="K462" s="35"/>
    </row>
    <row r="463">
      <c r="A463" s="12"/>
      <c r="B463" s="12"/>
      <c r="K463" s="35"/>
    </row>
    <row r="464">
      <c r="A464" s="12"/>
      <c r="B464" s="12"/>
      <c r="K464" s="35"/>
    </row>
    <row r="465">
      <c r="A465" s="12"/>
      <c r="B465" s="12"/>
      <c r="K465" s="35"/>
    </row>
    <row r="466">
      <c r="A466" s="12"/>
      <c r="B466" s="12"/>
      <c r="K466" s="35"/>
    </row>
    <row r="467">
      <c r="A467" s="12"/>
      <c r="B467" s="12"/>
      <c r="K467" s="35"/>
    </row>
    <row r="468">
      <c r="A468" s="12"/>
      <c r="B468" s="12"/>
      <c r="K468" s="35"/>
    </row>
    <row r="469">
      <c r="A469" s="12"/>
      <c r="B469" s="12"/>
      <c r="K469" s="35"/>
    </row>
    <row r="470">
      <c r="A470" s="12"/>
      <c r="B470" s="12"/>
      <c r="K470" s="35"/>
    </row>
    <row r="471">
      <c r="A471" s="12"/>
      <c r="B471" s="12"/>
      <c r="K471" s="35"/>
    </row>
    <row r="472">
      <c r="A472" s="12"/>
      <c r="B472" s="12"/>
      <c r="K472" s="35"/>
    </row>
    <row r="473">
      <c r="A473" s="12"/>
      <c r="B473" s="12"/>
      <c r="K473" s="35"/>
    </row>
    <row r="474">
      <c r="A474" s="12"/>
      <c r="B474" s="12"/>
      <c r="K474" s="35"/>
    </row>
    <row r="475">
      <c r="A475" s="12"/>
      <c r="B475" s="12"/>
      <c r="K475" s="35"/>
    </row>
    <row r="476">
      <c r="A476" s="12"/>
      <c r="B476" s="12"/>
      <c r="K476" s="35"/>
    </row>
    <row r="477">
      <c r="A477" s="12"/>
      <c r="B477" s="12"/>
      <c r="K477" s="35"/>
    </row>
    <row r="478">
      <c r="A478" s="12"/>
      <c r="B478" s="12"/>
      <c r="K478" s="35"/>
    </row>
    <row r="479">
      <c r="A479" s="12"/>
      <c r="B479" s="12"/>
      <c r="K479" s="35"/>
    </row>
    <row r="480">
      <c r="A480" s="12"/>
      <c r="B480" s="12"/>
      <c r="K480" s="35"/>
    </row>
    <row r="481">
      <c r="A481" s="12"/>
      <c r="B481" s="12"/>
      <c r="K481" s="35"/>
    </row>
    <row r="482">
      <c r="A482" s="12"/>
      <c r="B482" s="12"/>
      <c r="K482" s="35"/>
    </row>
    <row r="483">
      <c r="A483" s="12"/>
      <c r="B483" s="12"/>
      <c r="K483" s="35"/>
    </row>
    <row r="484">
      <c r="A484" s="12"/>
      <c r="B484" s="12"/>
      <c r="K484" s="35"/>
    </row>
    <row r="485">
      <c r="A485" s="12"/>
      <c r="B485" s="12"/>
      <c r="K485" s="35"/>
    </row>
    <row r="486">
      <c r="A486" s="12"/>
      <c r="B486" s="12"/>
      <c r="K486" s="35"/>
    </row>
    <row r="487">
      <c r="A487" s="12"/>
      <c r="B487" s="12"/>
      <c r="K487" s="35"/>
    </row>
    <row r="488">
      <c r="A488" s="12"/>
      <c r="B488" s="12"/>
      <c r="K488" s="35"/>
    </row>
    <row r="489">
      <c r="A489" s="12"/>
      <c r="B489" s="12"/>
      <c r="K489" s="35"/>
    </row>
    <row r="490">
      <c r="A490" s="12"/>
      <c r="B490" s="12"/>
      <c r="K490" s="35"/>
    </row>
    <row r="491">
      <c r="A491" s="12"/>
      <c r="B491" s="12"/>
      <c r="K491" s="35"/>
    </row>
    <row r="492">
      <c r="A492" s="12"/>
      <c r="B492" s="12"/>
      <c r="K492" s="35"/>
    </row>
    <row r="493">
      <c r="A493" s="12"/>
      <c r="B493" s="12"/>
      <c r="K493" s="35"/>
    </row>
    <row r="494">
      <c r="A494" s="12"/>
      <c r="B494" s="12"/>
      <c r="K494" s="35"/>
    </row>
    <row r="495">
      <c r="A495" s="12"/>
      <c r="B495" s="12"/>
      <c r="K495" s="35"/>
    </row>
    <row r="496">
      <c r="A496" s="12"/>
      <c r="B496" s="12"/>
      <c r="K496" s="35"/>
    </row>
    <row r="497">
      <c r="A497" s="12"/>
      <c r="B497" s="12"/>
      <c r="K497" s="35"/>
    </row>
    <row r="498">
      <c r="A498" s="12"/>
      <c r="B498" s="12"/>
      <c r="K498" s="35"/>
    </row>
    <row r="499">
      <c r="A499" s="12"/>
      <c r="B499" s="12"/>
      <c r="K499" s="35"/>
    </row>
    <row r="500">
      <c r="A500" s="12"/>
      <c r="B500" s="12"/>
      <c r="K500" s="35"/>
    </row>
    <row r="501">
      <c r="A501" s="12"/>
      <c r="B501" s="12"/>
      <c r="K501" s="35"/>
    </row>
    <row r="502">
      <c r="A502" s="12"/>
      <c r="B502" s="12"/>
      <c r="K502" s="35"/>
    </row>
    <row r="503">
      <c r="A503" s="12"/>
      <c r="B503" s="12"/>
      <c r="K503" s="35"/>
    </row>
    <row r="504">
      <c r="A504" s="12"/>
      <c r="B504" s="12"/>
      <c r="K504" s="35"/>
    </row>
    <row r="505">
      <c r="A505" s="12"/>
      <c r="B505" s="12"/>
      <c r="K505" s="35"/>
    </row>
    <row r="506">
      <c r="A506" s="12"/>
      <c r="B506" s="12"/>
      <c r="K506" s="35"/>
    </row>
    <row r="507">
      <c r="A507" s="12"/>
      <c r="B507" s="12"/>
      <c r="K507" s="35"/>
    </row>
    <row r="508">
      <c r="A508" s="12"/>
      <c r="B508" s="12"/>
      <c r="K508" s="35"/>
    </row>
    <row r="509">
      <c r="A509" s="12"/>
      <c r="B509" s="12"/>
      <c r="K509" s="35"/>
    </row>
    <row r="510">
      <c r="A510" s="12"/>
      <c r="B510" s="12"/>
      <c r="K510" s="35"/>
    </row>
    <row r="511">
      <c r="A511" s="12"/>
      <c r="B511" s="12"/>
      <c r="K511" s="35"/>
    </row>
    <row r="512">
      <c r="A512" s="12"/>
      <c r="B512" s="12"/>
      <c r="K512" s="35"/>
    </row>
    <row r="513">
      <c r="A513" s="12"/>
      <c r="B513" s="12"/>
      <c r="K513" s="35"/>
    </row>
    <row r="514">
      <c r="A514" s="12"/>
      <c r="B514" s="12"/>
      <c r="K514" s="35"/>
    </row>
    <row r="515">
      <c r="A515" s="12"/>
      <c r="B515" s="12"/>
      <c r="K515" s="35"/>
    </row>
    <row r="516">
      <c r="A516" s="12"/>
      <c r="B516" s="12"/>
      <c r="K516" s="35"/>
    </row>
    <row r="517">
      <c r="A517" s="12"/>
      <c r="B517" s="12"/>
      <c r="K517" s="35"/>
    </row>
    <row r="518">
      <c r="A518" s="12"/>
      <c r="B518" s="12"/>
      <c r="K518" s="35"/>
    </row>
    <row r="519">
      <c r="A519" s="12"/>
      <c r="B519" s="12"/>
      <c r="K519" s="35"/>
    </row>
    <row r="520">
      <c r="A520" s="12"/>
      <c r="B520" s="12"/>
      <c r="K520" s="35"/>
    </row>
    <row r="521">
      <c r="A521" s="12"/>
      <c r="B521" s="12"/>
      <c r="K521" s="35"/>
    </row>
    <row r="522">
      <c r="A522" s="12"/>
      <c r="B522" s="12"/>
      <c r="K522" s="35"/>
    </row>
    <row r="523">
      <c r="A523" s="12"/>
      <c r="B523" s="12"/>
      <c r="K523" s="35"/>
    </row>
    <row r="524">
      <c r="A524" s="12"/>
      <c r="B524" s="12"/>
      <c r="K524" s="35"/>
    </row>
    <row r="525">
      <c r="A525" s="12"/>
      <c r="B525" s="12"/>
      <c r="K525" s="35"/>
    </row>
    <row r="526">
      <c r="A526" s="12"/>
      <c r="B526" s="12"/>
      <c r="K526" s="35"/>
    </row>
    <row r="527">
      <c r="A527" s="12"/>
      <c r="B527" s="12"/>
      <c r="K527" s="35"/>
    </row>
    <row r="528">
      <c r="A528" s="12"/>
      <c r="B528" s="12"/>
      <c r="K528" s="35"/>
    </row>
    <row r="529">
      <c r="A529" s="12"/>
      <c r="B529" s="12"/>
      <c r="K529" s="35"/>
    </row>
    <row r="530">
      <c r="A530" s="12"/>
      <c r="B530" s="12"/>
      <c r="K530" s="35"/>
    </row>
    <row r="531">
      <c r="A531" s="12"/>
      <c r="B531" s="12"/>
      <c r="K531" s="35"/>
    </row>
    <row r="532">
      <c r="A532" s="12"/>
      <c r="B532" s="12"/>
      <c r="K532" s="35"/>
    </row>
    <row r="533">
      <c r="A533" s="12"/>
      <c r="B533" s="12"/>
      <c r="K533" s="35"/>
    </row>
    <row r="534">
      <c r="A534" s="12"/>
      <c r="B534" s="12"/>
      <c r="K534" s="35"/>
    </row>
    <row r="535">
      <c r="A535" s="12"/>
      <c r="B535" s="12"/>
      <c r="K535" s="35"/>
    </row>
    <row r="536">
      <c r="A536" s="12"/>
      <c r="B536" s="12"/>
      <c r="K536" s="35"/>
    </row>
    <row r="537">
      <c r="A537" s="12"/>
      <c r="B537" s="12"/>
      <c r="K537" s="35"/>
    </row>
    <row r="538">
      <c r="A538" s="12"/>
      <c r="B538" s="12"/>
      <c r="K538" s="35"/>
    </row>
    <row r="539">
      <c r="A539" s="12"/>
      <c r="B539" s="12"/>
      <c r="K539" s="35"/>
    </row>
    <row r="540">
      <c r="A540" s="12"/>
      <c r="B540" s="12"/>
      <c r="K540" s="35"/>
    </row>
    <row r="541">
      <c r="A541" s="12"/>
      <c r="B541" s="12"/>
      <c r="K541" s="35"/>
    </row>
    <row r="542">
      <c r="A542" s="12"/>
      <c r="B542" s="12"/>
      <c r="K542" s="35"/>
    </row>
    <row r="543">
      <c r="A543" s="12"/>
      <c r="B543" s="12"/>
      <c r="K543" s="35"/>
    </row>
    <row r="544">
      <c r="A544" s="12"/>
      <c r="B544" s="12"/>
      <c r="K544" s="35"/>
    </row>
    <row r="545">
      <c r="A545" s="12"/>
      <c r="B545" s="12"/>
      <c r="K545" s="35"/>
    </row>
    <row r="546">
      <c r="A546" s="12"/>
      <c r="B546" s="12"/>
      <c r="K546" s="35"/>
    </row>
    <row r="547">
      <c r="A547" s="12"/>
      <c r="B547" s="12"/>
      <c r="K547" s="35"/>
    </row>
    <row r="548">
      <c r="A548" s="12"/>
      <c r="B548" s="12"/>
      <c r="K548" s="35"/>
    </row>
    <row r="549">
      <c r="A549" s="12"/>
      <c r="B549" s="12"/>
      <c r="K549" s="35"/>
    </row>
    <row r="550">
      <c r="A550" s="12"/>
      <c r="B550" s="12"/>
      <c r="K550" s="35"/>
    </row>
    <row r="551">
      <c r="A551" s="12"/>
      <c r="B551" s="12"/>
      <c r="K551" s="35"/>
    </row>
    <row r="552">
      <c r="A552" s="12"/>
      <c r="B552" s="12"/>
      <c r="K552" s="35"/>
    </row>
    <row r="553">
      <c r="A553" s="12"/>
      <c r="B553" s="12"/>
      <c r="K553" s="35"/>
    </row>
    <row r="554">
      <c r="A554" s="12"/>
      <c r="B554" s="12"/>
      <c r="K554" s="35"/>
    </row>
    <row r="555">
      <c r="A555" s="12"/>
      <c r="B555" s="12"/>
      <c r="K555" s="35"/>
    </row>
    <row r="556">
      <c r="A556" s="12"/>
      <c r="B556" s="12"/>
      <c r="K556" s="35"/>
    </row>
    <row r="557">
      <c r="A557" s="12"/>
      <c r="B557" s="12"/>
      <c r="K557" s="35"/>
    </row>
    <row r="558">
      <c r="A558" s="12"/>
      <c r="B558" s="12"/>
      <c r="K558" s="35"/>
    </row>
    <row r="559">
      <c r="A559" s="12"/>
      <c r="B559" s="12"/>
      <c r="K559" s="35"/>
    </row>
    <row r="560">
      <c r="A560" s="12"/>
      <c r="B560" s="12"/>
      <c r="K560" s="35"/>
    </row>
    <row r="561">
      <c r="A561" s="12"/>
      <c r="B561" s="12"/>
      <c r="K561" s="35"/>
    </row>
    <row r="562">
      <c r="A562" s="12"/>
      <c r="B562" s="12"/>
      <c r="K562" s="35"/>
    </row>
    <row r="563">
      <c r="A563" s="12"/>
      <c r="B563" s="12"/>
      <c r="K563" s="35"/>
    </row>
    <row r="564">
      <c r="A564" s="12"/>
      <c r="B564" s="12"/>
      <c r="K564" s="35"/>
    </row>
    <row r="565">
      <c r="A565" s="12"/>
      <c r="B565" s="12"/>
      <c r="K565" s="35"/>
    </row>
    <row r="566">
      <c r="A566" s="12"/>
      <c r="B566" s="12"/>
      <c r="K566" s="35"/>
    </row>
    <row r="567">
      <c r="A567" s="12"/>
      <c r="B567" s="12"/>
      <c r="K567" s="35"/>
    </row>
    <row r="568">
      <c r="A568" s="12"/>
      <c r="B568" s="12"/>
      <c r="K568" s="35"/>
    </row>
    <row r="569">
      <c r="A569" s="12"/>
      <c r="B569" s="12"/>
      <c r="K569" s="35"/>
    </row>
    <row r="570">
      <c r="A570" s="12"/>
      <c r="B570" s="12"/>
      <c r="K570" s="35"/>
    </row>
    <row r="571">
      <c r="A571" s="12"/>
      <c r="B571" s="12"/>
      <c r="K571" s="35"/>
    </row>
    <row r="572">
      <c r="A572" s="12"/>
      <c r="B572" s="12"/>
      <c r="K572" s="35"/>
    </row>
    <row r="573">
      <c r="A573" s="12"/>
      <c r="B573" s="12"/>
      <c r="K573" s="35"/>
    </row>
    <row r="574">
      <c r="A574" s="12"/>
      <c r="B574" s="12"/>
      <c r="K574" s="35"/>
    </row>
    <row r="575">
      <c r="A575" s="12"/>
      <c r="B575" s="12"/>
      <c r="K575" s="35"/>
    </row>
    <row r="576">
      <c r="A576" s="12"/>
      <c r="B576" s="12"/>
      <c r="K576" s="35"/>
    </row>
    <row r="577">
      <c r="A577" s="12"/>
      <c r="B577" s="12"/>
      <c r="K577" s="35"/>
    </row>
    <row r="578">
      <c r="A578" s="12"/>
      <c r="B578" s="12"/>
      <c r="K578" s="35"/>
    </row>
    <row r="579">
      <c r="A579" s="12"/>
      <c r="B579" s="12"/>
      <c r="K579" s="35"/>
    </row>
    <row r="580">
      <c r="A580" s="12"/>
      <c r="B580" s="12"/>
      <c r="K580" s="35"/>
    </row>
    <row r="581">
      <c r="A581" s="12"/>
      <c r="B581" s="12"/>
      <c r="K581" s="35"/>
    </row>
    <row r="582">
      <c r="A582" s="12"/>
      <c r="B582" s="12"/>
      <c r="K582" s="35"/>
    </row>
    <row r="583">
      <c r="A583" s="12"/>
      <c r="B583" s="12"/>
      <c r="K583" s="35"/>
    </row>
    <row r="584">
      <c r="A584" s="12"/>
      <c r="B584" s="12"/>
      <c r="K584" s="35"/>
    </row>
    <row r="585">
      <c r="A585" s="12"/>
      <c r="B585" s="12"/>
      <c r="K585" s="35"/>
    </row>
    <row r="586">
      <c r="A586" s="12"/>
      <c r="B586" s="12"/>
      <c r="K586" s="35"/>
    </row>
    <row r="587">
      <c r="A587" s="12"/>
      <c r="B587" s="12"/>
      <c r="K587" s="35"/>
    </row>
    <row r="588">
      <c r="A588" s="12"/>
      <c r="B588" s="12"/>
      <c r="K588" s="35"/>
    </row>
    <row r="589">
      <c r="A589" s="12"/>
      <c r="B589" s="12"/>
      <c r="K589" s="35"/>
    </row>
    <row r="590">
      <c r="A590" s="12"/>
      <c r="B590" s="12"/>
      <c r="K590" s="35"/>
    </row>
    <row r="591">
      <c r="A591" s="12"/>
      <c r="B591" s="12"/>
      <c r="K591" s="35"/>
    </row>
    <row r="592">
      <c r="A592" s="12"/>
      <c r="B592" s="12"/>
      <c r="K592" s="35"/>
    </row>
    <row r="593">
      <c r="A593" s="12"/>
      <c r="B593" s="12"/>
      <c r="K593" s="35"/>
    </row>
    <row r="594">
      <c r="A594" s="12"/>
      <c r="B594" s="12"/>
      <c r="K594" s="35"/>
    </row>
    <row r="595">
      <c r="A595" s="12"/>
      <c r="B595" s="12"/>
      <c r="K595" s="35"/>
    </row>
    <row r="596">
      <c r="A596" s="12"/>
      <c r="B596" s="12"/>
      <c r="K596" s="35"/>
    </row>
    <row r="597">
      <c r="A597" s="12"/>
      <c r="B597" s="12"/>
      <c r="K597" s="35"/>
    </row>
    <row r="598">
      <c r="A598" s="12"/>
      <c r="B598" s="12"/>
      <c r="K598" s="35"/>
    </row>
    <row r="599">
      <c r="A599" s="12"/>
      <c r="B599" s="12"/>
      <c r="K599" s="35"/>
    </row>
    <row r="600">
      <c r="A600" s="12"/>
      <c r="B600" s="12"/>
      <c r="K600" s="35"/>
    </row>
    <row r="601">
      <c r="A601" s="12"/>
      <c r="B601" s="12"/>
      <c r="K601" s="35"/>
    </row>
    <row r="602">
      <c r="A602" s="12"/>
      <c r="B602" s="12"/>
      <c r="K602" s="35"/>
    </row>
    <row r="603">
      <c r="A603" s="12"/>
      <c r="B603" s="12"/>
      <c r="K603" s="35"/>
    </row>
    <row r="604">
      <c r="A604" s="12"/>
      <c r="B604" s="12"/>
      <c r="K604" s="35"/>
    </row>
    <row r="605">
      <c r="A605" s="12"/>
      <c r="B605" s="12"/>
      <c r="K605" s="35"/>
    </row>
    <row r="606">
      <c r="A606" s="12"/>
      <c r="B606" s="12"/>
      <c r="K606" s="35"/>
    </row>
    <row r="607">
      <c r="A607" s="12"/>
      <c r="B607" s="12"/>
      <c r="K607" s="35"/>
    </row>
    <row r="608">
      <c r="A608" s="12"/>
      <c r="B608" s="12"/>
      <c r="K608" s="35"/>
    </row>
    <row r="609">
      <c r="A609" s="12"/>
      <c r="B609" s="12"/>
      <c r="K609" s="35"/>
    </row>
    <row r="610">
      <c r="A610" s="12"/>
      <c r="B610" s="12"/>
      <c r="K610" s="35"/>
    </row>
    <row r="611">
      <c r="A611" s="12"/>
      <c r="B611" s="12"/>
      <c r="K611" s="35"/>
    </row>
    <row r="612">
      <c r="A612" s="12"/>
      <c r="B612" s="12"/>
      <c r="K612" s="35"/>
    </row>
    <row r="613">
      <c r="A613" s="12"/>
      <c r="B613" s="12"/>
      <c r="K613" s="35"/>
    </row>
    <row r="614">
      <c r="A614" s="12"/>
      <c r="B614" s="12"/>
      <c r="K614" s="35"/>
    </row>
    <row r="615">
      <c r="A615" s="12"/>
      <c r="B615" s="12"/>
      <c r="K615" s="35"/>
    </row>
    <row r="616">
      <c r="A616" s="12"/>
      <c r="B616" s="12"/>
      <c r="K616" s="35"/>
    </row>
    <row r="617">
      <c r="A617" s="12"/>
      <c r="B617" s="12"/>
      <c r="K617" s="35"/>
    </row>
    <row r="618">
      <c r="A618" s="12"/>
      <c r="B618" s="12"/>
      <c r="K618" s="35"/>
    </row>
    <row r="619">
      <c r="A619" s="12"/>
      <c r="B619" s="12"/>
      <c r="K619" s="35"/>
    </row>
    <row r="620">
      <c r="A620" s="12"/>
      <c r="B620" s="12"/>
      <c r="K620" s="35"/>
    </row>
    <row r="621">
      <c r="A621" s="12"/>
      <c r="B621" s="12"/>
      <c r="K621" s="35"/>
    </row>
    <row r="622">
      <c r="A622" s="12"/>
      <c r="B622" s="12"/>
      <c r="K622" s="35"/>
    </row>
    <row r="623">
      <c r="A623" s="12"/>
      <c r="B623" s="12"/>
      <c r="K623" s="35"/>
    </row>
    <row r="624">
      <c r="A624" s="12"/>
      <c r="B624" s="12"/>
      <c r="K624" s="35"/>
    </row>
    <row r="625">
      <c r="A625" s="12"/>
      <c r="B625" s="12"/>
      <c r="K625" s="35"/>
    </row>
    <row r="626">
      <c r="A626" s="12"/>
      <c r="B626" s="12"/>
      <c r="K626" s="35"/>
    </row>
    <row r="627">
      <c r="A627" s="12"/>
      <c r="B627" s="12"/>
      <c r="K627" s="35"/>
    </row>
    <row r="628">
      <c r="A628" s="12"/>
      <c r="B628" s="12"/>
      <c r="K628" s="35"/>
    </row>
    <row r="629">
      <c r="A629" s="12"/>
      <c r="B629" s="12"/>
      <c r="K629" s="35"/>
    </row>
    <row r="630">
      <c r="A630" s="12"/>
      <c r="B630" s="12"/>
      <c r="K630" s="35"/>
    </row>
    <row r="631">
      <c r="A631" s="12"/>
      <c r="B631" s="12"/>
      <c r="K631" s="35"/>
    </row>
    <row r="632">
      <c r="A632" s="12"/>
      <c r="B632" s="12"/>
      <c r="K632" s="35"/>
    </row>
    <row r="633">
      <c r="A633" s="12"/>
      <c r="B633" s="12"/>
      <c r="K633" s="35"/>
    </row>
    <row r="634">
      <c r="A634" s="12"/>
      <c r="B634" s="12"/>
      <c r="K634" s="35"/>
    </row>
    <row r="635">
      <c r="A635" s="12"/>
      <c r="B635" s="12"/>
      <c r="K635" s="35"/>
    </row>
    <row r="636">
      <c r="A636" s="12"/>
      <c r="B636" s="12"/>
      <c r="K636" s="35"/>
    </row>
    <row r="637">
      <c r="A637" s="12"/>
      <c r="B637" s="12"/>
      <c r="K637" s="35"/>
    </row>
    <row r="638">
      <c r="A638" s="12"/>
      <c r="B638" s="12"/>
      <c r="K638" s="35"/>
    </row>
    <row r="639">
      <c r="A639" s="12"/>
      <c r="B639" s="12"/>
      <c r="K639" s="35"/>
    </row>
    <row r="640">
      <c r="A640" s="12"/>
      <c r="B640" s="12"/>
      <c r="K640" s="35"/>
    </row>
    <row r="641">
      <c r="A641" s="12"/>
      <c r="B641" s="12"/>
      <c r="K641" s="35"/>
    </row>
    <row r="642">
      <c r="A642" s="12"/>
      <c r="B642" s="12"/>
      <c r="K642" s="35"/>
    </row>
    <row r="643">
      <c r="A643" s="12"/>
      <c r="B643" s="12"/>
      <c r="K643" s="35"/>
    </row>
    <row r="644">
      <c r="A644" s="12"/>
      <c r="B644" s="12"/>
      <c r="K644" s="35"/>
    </row>
    <row r="645">
      <c r="A645" s="12"/>
      <c r="B645" s="12"/>
      <c r="K645" s="35"/>
    </row>
    <row r="646">
      <c r="A646" s="12"/>
      <c r="B646" s="12"/>
      <c r="K646" s="35"/>
    </row>
    <row r="647">
      <c r="A647" s="12"/>
      <c r="B647" s="12"/>
      <c r="K647" s="35"/>
    </row>
    <row r="648">
      <c r="A648" s="12"/>
      <c r="B648" s="12"/>
      <c r="K648" s="35"/>
    </row>
    <row r="649">
      <c r="A649" s="12"/>
      <c r="B649" s="12"/>
      <c r="K649" s="35"/>
    </row>
    <row r="650">
      <c r="A650" s="12"/>
      <c r="B650" s="12"/>
      <c r="K650" s="35"/>
    </row>
    <row r="651">
      <c r="A651" s="12"/>
      <c r="B651" s="12"/>
      <c r="K651" s="35"/>
    </row>
    <row r="652">
      <c r="A652" s="12"/>
      <c r="B652" s="12"/>
      <c r="K652" s="35"/>
    </row>
    <row r="653">
      <c r="A653" s="12"/>
      <c r="B653" s="12"/>
      <c r="K653" s="35"/>
    </row>
    <row r="654">
      <c r="A654" s="12"/>
      <c r="B654" s="12"/>
      <c r="K654" s="35"/>
    </row>
    <row r="655">
      <c r="A655" s="12"/>
      <c r="B655" s="12"/>
      <c r="K655" s="35"/>
    </row>
    <row r="656">
      <c r="A656" s="12"/>
      <c r="B656" s="12"/>
      <c r="K656" s="35"/>
    </row>
    <row r="657">
      <c r="A657" s="12"/>
      <c r="B657" s="12"/>
      <c r="K657" s="35"/>
    </row>
    <row r="658">
      <c r="A658" s="12"/>
      <c r="B658" s="12"/>
      <c r="K658" s="35"/>
    </row>
    <row r="659">
      <c r="A659" s="12"/>
      <c r="B659" s="12"/>
      <c r="K659" s="35"/>
    </row>
    <row r="660">
      <c r="A660" s="12"/>
      <c r="B660" s="12"/>
      <c r="K660" s="35"/>
    </row>
    <row r="661">
      <c r="A661" s="12"/>
      <c r="B661" s="12"/>
      <c r="K661" s="35"/>
    </row>
    <row r="662">
      <c r="A662" s="12"/>
      <c r="B662" s="12"/>
      <c r="K662" s="35"/>
    </row>
    <row r="663">
      <c r="A663" s="12"/>
      <c r="B663" s="12"/>
      <c r="K663" s="35"/>
    </row>
    <row r="664">
      <c r="A664" s="12"/>
      <c r="B664" s="12"/>
      <c r="K664" s="35"/>
    </row>
    <row r="665">
      <c r="A665" s="12"/>
      <c r="B665" s="12"/>
      <c r="K665" s="35"/>
    </row>
    <row r="666">
      <c r="A666" s="12"/>
      <c r="B666" s="12"/>
      <c r="K666" s="35"/>
    </row>
    <row r="667">
      <c r="A667" s="12"/>
      <c r="B667" s="12"/>
      <c r="K667" s="35"/>
    </row>
    <row r="668">
      <c r="A668" s="12"/>
      <c r="B668" s="12"/>
      <c r="K668" s="35"/>
    </row>
    <row r="669">
      <c r="A669" s="12"/>
      <c r="B669" s="12"/>
      <c r="K669" s="35"/>
    </row>
    <row r="670">
      <c r="A670" s="12"/>
      <c r="B670" s="12"/>
      <c r="K670" s="35"/>
    </row>
    <row r="671">
      <c r="A671" s="12"/>
      <c r="B671" s="12"/>
      <c r="K671" s="35"/>
    </row>
    <row r="672">
      <c r="A672" s="12"/>
      <c r="B672" s="12"/>
      <c r="K672" s="35"/>
    </row>
    <row r="673">
      <c r="A673" s="12"/>
      <c r="B673" s="12"/>
      <c r="K673" s="35"/>
    </row>
    <row r="674">
      <c r="A674" s="12"/>
      <c r="B674" s="12"/>
      <c r="K674" s="35"/>
    </row>
    <row r="675">
      <c r="A675" s="12"/>
      <c r="B675" s="12"/>
      <c r="K675" s="35"/>
    </row>
    <row r="676">
      <c r="A676" s="12"/>
      <c r="B676" s="12"/>
      <c r="K676" s="35"/>
    </row>
    <row r="677">
      <c r="A677" s="12"/>
      <c r="B677" s="12"/>
      <c r="K677" s="35"/>
    </row>
    <row r="678">
      <c r="A678" s="12"/>
      <c r="B678" s="12"/>
      <c r="K678" s="35"/>
    </row>
    <row r="679">
      <c r="A679" s="12"/>
      <c r="B679" s="12"/>
      <c r="K679" s="35"/>
    </row>
    <row r="680">
      <c r="A680" s="12"/>
      <c r="B680" s="12"/>
      <c r="K680" s="35"/>
    </row>
    <row r="681">
      <c r="A681" s="12"/>
      <c r="B681" s="12"/>
      <c r="K681" s="35"/>
    </row>
    <row r="682">
      <c r="A682" s="12"/>
      <c r="B682" s="12"/>
      <c r="K682" s="35"/>
    </row>
    <row r="683">
      <c r="A683" s="12"/>
      <c r="B683" s="12"/>
      <c r="K683" s="35"/>
    </row>
    <row r="684">
      <c r="A684" s="12"/>
      <c r="B684" s="12"/>
      <c r="K684" s="35"/>
    </row>
    <row r="685">
      <c r="A685" s="12"/>
      <c r="B685" s="12"/>
      <c r="K685" s="35"/>
    </row>
    <row r="686">
      <c r="A686" s="12"/>
      <c r="B686" s="12"/>
      <c r="K686" s="35"/>
    </row>
    <row r="687">
      <c r="A687" s="12"/>
      <c r="B687" s="12"/>
      <c r="K687" s="35"/>
    </row>
    <row r="688">
      <c r="A688" s="12"/>
      <c r="B688" s="12"/>
      <c r="K688" s="35"/>
    </row>
    <row r="689">
      <c r="A689" s="12"/>
      <c r="B689" s="12"/>
      <c r="K689" s="35"/>
    </row>
    <row r="690">
      <c r="A690" s="12"/>
      <c r="B690" s="12"/>
      <c r="K690" s="35"/>
    </row>
    <row r="691">
      <c r="A691" s="12"/>
      <c r="B691" s="12"/>
      <c r="K691" s="35"/>
    </row>
    <row r="692">
      <c r="A692" s="12"/>
      <c r="B692" s="12"/>
      <c r="K692" s="35"/>
    </row>
    <row r="693">
      <c r="A693" s="12"/>
      <c r="B693" s="12"/>
      <c r="K693" s="35"/>
    </row>
    <row r="694">
      <c r="A694" s="12"/>
      <c r="B694" s="12"/>
      <c r="K694" s="35"/>
    </row>
    <row r="695">
      <c r="A695" s="12"/>
      <c r="B695" s="12"/>
      <c r="K695" s="35"/>
    </row>
    <row r="696">
      <c r="A696" s="12"/>
      <c r="B696" s="12"/>
      <c r="K696" s="35"/>
    </row>
    <row r="697">
      <c r="A697" s="12"/>
      <c r="B697" s="12"/>
      <c r="K697" s="35"/>
    </row>
    <row r="698">
      <c r="A698" s="12"/>
      <c r="B698" s="12"/>
      <c r="K698" s="35"/>
    </row>
    <row r="699">
      <c r="A699" s="12"/>
      <c r="B699" s="12"/>
      <c r="K699" s="35"/>
    </row>
    <row r="700">
      <c r="A700" s="12"/>
      <c r="B700" s="12"/>
      <c r="K700" s="35"/>
    </row>
    <row r="701">
      <c r="A701" s="12"/>
      <c r="B701" s="12"/>
      <c r="K701" s="35"/>
    </row>
    <row r="702">
      <c r="A702" s="12"/>
      <c r="B702" s="12"/>
      <c r="K702" s="35"/>
    </row>
    <row r="703">
      <c r="A703" s="12"/>
      <c r="B703" s="12"/>
      <c r="K703" s="35"/>
    </row>
    <row r="704">
      <c r="A704" s="12"/>
      <c r="B704" s="12"/>
      <c r="K704" s="35"/>
    </row>
    <row r="705">
      <c r="A705" s="12"/>
      <c r="B705" s="12"/>
      <c r="K705" s="35"/>
    </row>
    <row r="706">
      <c r="A706" s="12"/>
      <c r="B706" s="12"/>
      <c r="K706" s="35"/>
    </row>
    <row r="707">
      <c r="A707" s="12"/>
      <c r="B707" s="12"/>
      <c r="K707" s="35"/>
    </row>
    <row r="708">
      <c r="A708" s="12"/>
      <c r="B708" s="12"/>
      <c r="K708" s="35"/>
    </row>
    <row r="709">
      <c r="A709" s="12"/>
      <c r="B709" s="12"/>
      <c r="K709" s="35"/>
    </row>
    <row r="710">
      <c r="A710" s="12"/>
      <c r="B710" s="12"/>
      <c r="K710" s="35"/>
    </row>
    <row r="711">
      <c r="A711" s="12"/>
      <c r="B711" s="12"/>
      <c r="K711" s="35"/>
    </row>
    <row r="712">
      <c r="A712" s="12"/>
      <c r="B712" s="12"/>
      <c r="K712" s="35"/>
    </row>
    <row r="713">
      <c r="A713" s="12"/>
      <c r="B713" s="12"/>
      <c r="K713" s="35"/>
    </row>
    <row r="714">
      <c r="A714" s="12"/>
      <c r="B714" s="12"/>
      <c r="K714" s="35"/>
    </row>
    <row r="715">
      <c r="A715" s="12"/>
      <c r="B715" s="12"/>
      <c r="K715" s="35"/>
    </row>
    <row r="716">
      <c r="A716" s="12"/>
      <c r="B716" s="12"/>
      <c r="K716" s="35"/>
    </row>
    <row r="717">
      <c r="A717" s="12"/>
      <c r="B717" s="12"/>
      <c r="K717" s="35"/>
    </row>
    <row r="718">
      <c r="A718" s="12"/>
      <c r="B718" s="12"/>
      <c r="K718" s="35"/>
    </row>
    <row r="719">
      <c r="A719" s="12"/>
      <c r="B719" s="12"/>
      <c r="K719" s="35"/>
    </row>
    <row r="720">
      <c r="A720" s="12"/>
      <c r="B720" s="12"/>
      <c r="K720" s="35"/>
    </row>
    <row r="721">
      <c r="A721" s="12"/>
      <c r="B721" s="12"/>
      <c r="K721" s="35"/>
    </row>
    <row r="722">
      <c r="A722" s="12"/>
      <c r="B722" s="12"/>
      <c r="K722" s="35"/>
    </row>
    <row r="723">
      <c r="A723" s="12"/>
      <c r="B723" s="12"/>
      <c r="K723" s="35"/>
    </row>
    <row r="724">
      <c r="A724" s="12"/>
      <c r="B724" s="12"/>
      <c r="K724" s="35"/>
    </row>
    <row r="725">
      <c r="A725" s="12"/>
      <c r="B725" s="12"/>
      <c r="K725" s="35"/>
    </row>
    <row r="726">
      <c r="A726" s="12"/>
      <c r="B726" s="12"/>
      <c r="K726" s="35"/>
    </row>
    <row r="727">
      <c r="A727" s="12"/>
      <c r="B727" s="12"/>
      <c r="K727" s="35"/>
    </row>
    <row r="728">
      <c r="A728" s="12"/>
      <c r="B728" s="12"/>
      <c r="K728" s="35"/>
    </row>
    <row r="729">
      <c r="A729" s="12"/>
      <c r="B729" s="12"/>
      <c r="K729" s="35"/>
    </row>
    <row r="730">
      <c r="A730" s="12"/>
      <c r="B730" s="12"/>
      <c r="K730" s="35"/>
    </row>
    <row r="731">
      <c r="A731" s="12"/>
      <c r="B731" s="12"/>
      <c r="K731" s="35"/>
    </row>
    <row r="732">
      <c r="A732" s="12"/>
      <c r="B732" s="12"/>
      <c r="K732" s="35"/>
    </row>
    <row r="733">
      <c r="A733" s="12"/>
      <c r="B733" s="12"/>
      <c r="K733" s="35"/>
    </row>
    <row r="734">
      <c r="A734" s="12"/>
      <c r="B734" s="12"/>
      <c r="K734" s="35"/>
    </row>
    <row r="735">
      <c r="A735" s="12"/>
      <c r="B735" s="12"/>
      <c r="K735" s="35"/>
    </row>
    <row r="736">
      <c r="A736" s="12"/>
      <c r="B736" s="12"/>
      <c r="K736" s="35"/>
    </row>
    <row r="737">
      <c r="A737" s="12"/>
      <c r="B737" s="12"/>
      <c r="K737" s="35"/>
    </row>
    <row r="738">
      <c r="A738" s="12"/>
      <c r="B738" s="12"/>
      <c r="K738" s="35"/>
    </row>
    <row r="739">
      <c r="A739" s="12"/>
      <c r="B739" s="12"/>
      <c r="K739" s="35"/>
    </row>
    <row r="740">
      <c r="A740" s="12"/>
      <c r="B740" s="12"/>
      <c r="K740" s="35"/>
    </row>
    <row r="741">
      <c r="A741" s="12"/>
      <c r="B741" s="12"/>
      <c r="K741" s="35"/>
    </row>
    <row r="742">
      <c r="A742" s="12"/>
      <c r="B742" s="12"/>
      <c r="K742" s="35"/>
    </row>
    <row r="743">
      <c r="A743" s="12"/>
      <c r="B743" s="12"/>
      <c r="K743" s="35"/>
    </row>
    <row r="744">
      <c r="A744" s="12"/>
      <c r="B744" s="12"/>
      <c r="K744" s="35"/>
    </row>
    <row r="745">
      <c r="A745" s="12"/>
      <c r="B745" s="12"/>
      <c r="K745" s="35"/>
    </row>
    <row r="746">
      <c r="A746" s="12"/>
      <c r="B746" s="12"/>
      <c r="K746" s="35"/>
    </row>
    <row r="747">
      <c r="A747" s="12"/>
      <c r="B747" s="12"/>
      <c r="K747" s="35"/>
    </row>
    <row r="748">
      <c r="A748" s="12"/>
      <c r="B748" s="12"/>
      <c r="K748" s="35"/>
    </row>
    <row r="749">
      <c r="A749" s="12"/>
      <c r="B749" s="12"/>
      <c r="K749" s="35"/>
    </row>
    <row r="750">
      <c r="A750" s="12"/>
      <c r="B750" s="12"/>
      <c r="K750" s="35"/>
    </row>
    <row r="751">
      <c r="A751" s="12"/>
      <c r="B751" s="12"/>
      <c r="K751" s="35"/>
    </row>
    <row r="752">
      <c r="A752" s="12"/>
      <c r="B752" s="12"/>
      <c r="K752" s="35"/>
    </row>
    <row r="753">
      <c r="A753" s="12"/>
      <c r="B753" s="12"/>
      <c r="K753" s="35"/>
    </row>
    <row r="754">
      <c r="A754" s="12"/>
      <c r="B754" s="12"/>
      <c r="K754" s="35"/>
    </row>
    <row r="755">
      <c r="A755" s="12"/>
      <c r="B755" s="12"/>
      <c r="K755" s="35"/>
    </row>
    <row r="756">
      <c r="A756" s="12"/>
      <c r="B756" s="12"/>
      <c r="K756" s="35"/>
    </row>
    <row r="757">
      <c r="A757" s="12"/>
      <c r="B757" s="12"/>
      <c r="K757" s="35"/>
    </row>
    <row r="758">
      <c r="A758" s="12"/>
      <c r="B758" s="12"/>
      <c r="K758" s="35"/>
    </row>
    <row r="759">
      <c r="A759" s="12"/>
      <c r="B759" s="12"/>
      <c r="K759" s="35"/>
    </row>
    <row r="760">
      <c r="A760" s="12"/>
      <c r="B760" s="12"/>
      <c r="K760" s="35"/>
    </row>
    <row r="761">
      <c r="A761" s="12"/>
      <c r="B761" s="12"/>
      <c r="K761" s="35"/>
    </row>
    <row r="762">
      <c r="A762" s="12"/>
      <c r="B762" s="12"/>
      <c r="K762" s="35"/>
    </row>
    <row r="763">
      <c r="A763" s="12"/>
      <c r="B763" s="12"/>
      <c r="K763" s="35"/>
    </row>
    <row r="764">
      <c r="A764" s="12"/>
      <c r="B764" s="12"/>
      <c r="K764" s="35"/>
    </row>
    <row r="765">
      <c r="A765" s="12"/>
      <c r="B765" s="12"/>
      <c r="K765" s="35"/>
    </row>
    <row r="766">
      <c r="A766" s="12"/>
      <c r="B766" s="12"/>
      <c r="K766" s="35"/>
    </row>
    <row r="767">
      <c r="A767" s="12"/>
      <c r="B767" s="12"/>
      <c r="K767" s="35"/>
    </row>
    <row r="768">
      <c r="A768" s="12"/>
      <c r="B768" s="12"/>
      <c r="K768" s="35"/>
    </row>
    <row r="769">
      <c r="A769" s="12"/>
      <c r="B769" s="12"/>
      <c r="K769" s="35"/>
    </row>
    <row r="770">
      <c r="A770" s="12"/>
      <c r="B770" s="12"/>
      <c r="K770" s="35"/>
    </row>
    <row r="771">
      <c r="A771" s="12"/>
      <c r="B771" s="12"/>
      <c r="K771" s="35"/>
    </row>
    <row r="772">
      <c r="A772" s="12"/>
      <c r="B772" s="12"/>
      <c r="K772" s="35"/>
    </row>
    <row r="773">
      <c r="A773" s="12"/>
      <c r="B773" s="12"/>
      <c r="K773" s="35"/>
    </row>
    <row r="774">
      <c r="A774" s="12"/>
      <c r="B774" s="12"/>
      <c r="K774" s="35"/>
    </row>
    <row r="775">
      <c r="A775" s="12"/>
      <c r="B775" s="12"/>
      <c r="K775" s="35"/>
    </row>
    <row r="776">
      <c r="A776" s="12"/>
      <c r="B776" s="12"/>
      <c r="K776" s="35"/>
    </row>
    <row r="777">
      <c r="A777" s="12"/>
      <c r="B777" s="12"/>
      <c r="K777" s="35"/>
    </row>
    <row r="778">
      <c r="A778" s="12"/>
      <c r="B778" s="12"/>
      <c r="K778" s="35"/>
    </row>
    <row r="779">
      <c r="A779" s="12"/>
      <c r="B779" s="12"/>
      <c r="K779" s="35"/>
    </row>
    <row r="780">
      <c r="A780" s="12"/>
      <c r="B780" s="12"/>
      <c r="K780" s="35"/>
    </row>
    <row r="781">
      <c r="A781" s="12"/>
      <c r="B781" s="12"/>
      <c r="K781" s="35"/>
    </row>
    <row r="782">
      <c r="A782" s="12"/>
      <c r="B782" s="12"/>
      <c r="K782" s="35"/>
    </row>
    <row r="783">
      <c r="A783" s="12"/>
      <c r="B783" s="12"/>
      <c r="K783" s="35"/>
    </row>
    <row r="784">
      <c r="A784" s="12"/>
      <c r="B784" s="12"/>
      <c r="K784" s="35"/>
    </row>
    <row r="785">
      <c r="A785" s="12"/>
      <c r="B785" s="12"/>
      <c r="K785" s="35"/>
    </row>
    <row r="786">
      <c r="A786" s="12"/>
      <c r="B786" s="12"/>
      <c r="K786" s="35"/>
    </row>
    <row r="787">
      <c r="A787" s="12"/>
      <c r="B787" s="12"/>
      <c r="K787" s="35"/>
    </row>
    <row r="788">
      <c r="A788" s="12"/>
      <c r="B788" s="12"/>
      <c r="K788" s="35"/>
    </row>
    <row r="789">
      <c r="A789" s="12"/>
      <c r="B789" s="12"/>
      <c r="K789" s="35"/>
    </row>
    <row r="790">
      <c r="A790" s="12"/>
      <c r="B790" s="12"/>
      <c r="K790" s="35"/>
    </row>
    <row r="791">
      <c r="A791" s="12"/>
      <c r="B791" s="12"/>
      <c r="K791" s="35"/>
    </row>
    <row r="792">
      <c r="A792" s="12"/>
      <c r="B792" s="12"/>
      <c r="K792" s="35"/>
    </row>
    <row r="793">
      <c r="A793" s="12"/>
      <c r="B793" s="12"/>
      <c r="K793" s="35"/>
    </row>
    <row r="794">
      <c r="A794" s="12"/>
      <c r="B794" s="12"/>
      <c r="K794" s="35"/>
    </row>
    <row r="795">
      <c r="A795" s="12"/>
      <c r="B795" s="12"/>
      <c r="K795" s="35"/>
    </row>
    <row r="796">
      <c r="A796" s="12"/>
      <c r="B796" s="12"/>
      <c r="K796" s="35"/>
    </row>
    <row r="797">
      <c r="A797" s="12"/>
      <c r="B797" s="12"/>
      <c r="K797" s="35"/>
    </row>
    <row r="798">
      <c r="A798" s="12"/>
      <c r="B798" s="12"/>
      <c r="K798" s="35"/>
    </row>
    <row r="799">
      <c r="A799" s="12"/>
      <c r="B799" s="12"/>
      <c r="K799" s="35"/>
    </row>
    <row r="800">
      <c r="A800" s="12"/>
      <c r="B800" s="12"/>
      <c r="K800" s="35"/>
    </row>
    <row r="801">
      <c r="A801" s="12"/>
      <c r="B801" s="12"/>
      <c r="K801" s="35"/>
    </row>
    <row r="802">
      <c r="A802" s="12"/>
      <c r="B802" s="12"/>
      <c r="K802" s="35"/>
    </row>
    <row r="803">
      <c r="A803" s="12"/>
      <c r="B803" s="12"/>
      <c r="K803" s="35"/>
    </row>
    <row r="804">
      <c r="A804" s="12"/>
      <c r="B804" s="12"/>
      <c r="K804" s="35"/>
    </row>
    <row r="805">
      <c r="A805" s="12"/>
      <c r="B805" s="12"/>
      <c r="K805" s="35"/>
    </row>
    <row r="806">
      <c r="A806" s="12"/>
      <c r="B806" s="12"/>
      <c r="K806" s="35"/>
    </row>
    <row r="807">
      <c r="A807" s="12"/>
      <c r="B807" s="12"/>
      <c r="K807" s="35"/>
    </row>
    <row r="808">
      <c r="A808" s="12"/>
      <c r="B808" s="12"/>
      <c r="K808" s="35"/>
    </row>
    <row r="809">
      <c r="A809" s="12"/>
      <c r="B809" s="12"/>
      <c r="K809" s="35"/>
    </row>
    <row r="810">
      <c r="A810" s="12"/>
      <c r="B810" s="12"/>
      <c r="K810" s="35"/>
    </row>
    <row r="811">
      <c r="A811" s="12"/>
      <c r="B811" s="12"/>
      <c r="K811" s="35"/>
    </row>
    <row r="812">
      <c r="A812" s="12"/>
      <c r="B812" s="12"/>
      <c r="K812" s="35"/>
    </row>
    <row r="813">
      <c r="A813" s="12"/>
      <c r="B813" s="12"/>
      <c r="K813" s="35"/>
    </row>
    <row r="814">
      <c r="A814" s="12"/>
      <c r="B814" s="12"/>
      <c r="K814" s="35"/>
    </row>
    <row r="815">
      <c r="A815" s="12"/>
      <c r="B815" s="12"/>
      <c r="K815" s="35"/>
    </row>
    <row r="816">
      <c r="A816" s="12"/>
      <c r="B816" s="12"/>
      <c r="K816" s="35"/>
    </row>
    <row r="817">
      <c r="A817" s="12"/>
      <c r="B817" s="12"/>
      <c r="K817" s="35"/>
    </row>
    <row r="818">
      <c r="A818" s="12"/>
      <c r="B818" s="12"/>
      <c r="K818" s="35"/>
    </row>
    <row r="819">
      <c r="A819" s="12"/>
      <c r="B819" s="12"/>
      <c r="K819" s="35"/>
    </row>
    <row r="820">
      <c r="A820" s="12"/>
      <c r="B820" s="12"/>
      <c r="K820" s="35"/>
    </row>
    <row r="821">
      <c r="A821" s="12"/>
      <c r="B821" s="12"/>
      <c r="K821" s="35"/>
    </row>
    <row r="822">
      <c r="A822" s="12"/>
      <c r="B822" s="12"/>
      <c r="K822" s="35"/>
    </row>
    <row r="823">
      <c r="A823" s="12"/>
      <c r="B823" s="12"/>
      <c r="K823" s="35"/>
    </row>
    <row r="824">
      <c r="A824" s="12"/>
      <c r="B824" s="12"/>
      <c r="K824" s="35"/>
    </row>
    <row r="825">
      <c r="A825" s="12"/>
      <c r="B825" s="12"/>
      <c r="K825" s="35"/>
    </row>
    <row r="826">
      <c r="A826" s="12"/>
      <c r="B826" s="12"/>
      <c r="K826" s="35"/>
    </row>
    <row r="827">
      <c r="A827" s="12"/>
      <c r="B827" s="12"/>
      <c r="K827" s="35"/>
    </row>
    <row r="828">
      <c r="A828" s="12"/>
      <c r="B828" s="12"/>
      <c r="K828" s="35"/>
    </row>
    <row r="829">
      <c r="A829" s="12"/>
      <c r="B829" s="12"/>
      <c r="K829" s="35"/>
    </row>
    <row r="830">
      <c r="A830" s="12"/>
      <c r="B830" s="12"/>
      <c r="K830" s="35"/>
    </row>
    <row r="831">
      <c r="A831" s="12"/>
      <c r="B831" s="12"/>
      <c r="K831" s="35"/>
    </row>
    <row r="832">
      <c r="A832" s="12"/>
      <c r="B832" s="12"/>
      <c r="K832" s="35"/>
    </row>
    <row r="833">
      <c r="A833" s="12"/>
      <c r="B833" s="12"/>
      <c r="K833" s="35"/>
    </row>
    <row r="834">
      <c r="A834" s="12"/>
      <c r="B834" s="12"/>
      <c r="K834" s="35"/>
    </row>
    <row r="835">
      <c r="A835" s="12"/>
      <c r="B835" s="12"/>
      <c r="K835" s="35"/>
    </row>
    <row r="836">
      <c r="A836" s="12"/>
      <c r="B836" s="12"/>
      <c r="K836" s="35"/>
    </row>
    <row r="837">
      <c r="A837" s="12"/>
      <c r="B837" s="12"/>
      <c r="K837" s="35"/>
    </row>
    <row r="838">
      <c r="A838" s="12"/>
      <c r="B838" s="12"/>
      <c r="K838" s="35"/>
    </row>
    <row r="839">
      <c r="A839" s="12"/>
      <c r="B839" s="12"/>
      <c r="K839" s="35"/>
    </row>
    <row r="840">
      <c r="A840" s="12"/>
      <c r="B840" s="12"/>
      <c r="K840" s="35"/>
    </row>
    <row r="841">
      <c r="A841" s="12"/>
      <c r="B841" s="12"/>
      <c r="K841" s="35"/>
    </row>
    <row r="842">
      <c r="A842" s="12"/>
      <c r="B842" s="12"/>
      <c r="K842" s="35"/>
    </row>
    <row r="843">
      <c r="A843" s="12"/>
      <c r="B843" s="12"/>
      <c r="K843" s="35"/>
    </row>
    <row r="844">
      <c r="A844" s="12"/>
      <c r="B844" s="12"/>
      <c r="K844" s="35"/>
    </row>
    <row r="845">
      <c r="A845" s="12"/>
      <c r="B845" s="12"/>
      <c r="K845" s="35"/>
    </row>
    <row r="846">
      <c r="A846" s="12"/>
      <c r="B846" s="12"/>
      <c r="K846" s="35"/>
    </row>
    <row r="847">
      <c r="A847" s="12"/>
      <c r="B847" s="12"/>
      <c r="K847" s="35"/>
    </row>
    <row r="848">
      <c r="A848" s="12"/>
      <c r="B848" s="12"/>
      <c r="K848" s="35"/>
    </row>
    <row r="849">
      <c r="A849" s="12"/>
      <c r="B849" s="12"/>
      <c r="K849" s="35"/>
    </row>
    <row r="850">
      <c r="A850" s="12"/>
      <c r="B850" s="12"/>
      <c r="K850" s="35"/>
    </row>
    <row r="851">
      <c r="A851" s="12"/>
      <c r="B851" s="12"/>
      <c r="K851" s="35"/>
    </row>
    <row r="852">
      <c r="A852" s="12"/>
      <c r="B852" s="12"/>
      <c r="K852" s="35"/>
    </row>
    <row r="853">
      <c r="A853" s="12"/>
      <c r="B853" s="12"/>
      <c r="K853" s="35"/>
    </row>
    <row r="854">
      <c r="A854" s="12"/>
      <c r="B854" s="12"/>
      <c r="K854" s="35"/>
    </row>
    <row r="855">
      <c r="A855" s="12"/>
      <c r="B855" s="12"/>
      <c r="K855" s="35"/>
    </row>
    <row r="856">
      <c r="A856" s="12"/>
      <c r="B856" s="12"/>
      <c r="K856" s="35"/>
    </row>
    <row r="857">
      <c r="A857" s="12"/>
      <c r="B857" s="12"/>
      <c r="K857" s="35"/>
    </row>
    <row r="858">
      <c r="A858" s="12"/>
      <c r="B858" s="12"/>
      <c r="K858" s="35"/>
    </row>
    <row r="859">
      <c r="A859" s="12"/>
      <c r="B859" s="12"/>
      <c r="K859" s="35"/>
    </row>
    <row r="860">
      <c r="A860" s="12"/>
      <c r="B860" s="12"/>
      <c r="K860" s="35"/>
    </row>
    <row r="861">
      <c r="A861" s="12"/>
      <c r="B861" s="12"/>
      <c r="K861" s="35"/>
    </row>
    <row r="862">
      <c r="A862" s="12"/>
      <c r="B862" s="12"/>
      <c r="K862" s="35"/>
    </row>
    <row r="863">
      <c r="A863" s="12"/>
      <c r="B863" s="12"/>
      <c r="K863" s="35"/>
    </row>
    <row r="864">
      <c r="A864" s="12"/>
      <c r="B864" s="12"/>
      <c r="K864" s="35"/>
    </row>
    <row r="865">
      <c r="A865" s="12"/>
      <c r="B865" s="12"/>
      <c r="K865" s="35"/>
    </row>
    <row r="866">
      <c r="A866" s="12"/>
      <c r="B866" s="12"/>
      <c r="K866" s="35"/>
    </row>
    <row r="867">
      <c r="A867" s="12"/>
      <c r="B867" s="12"/>
      <c r="K867" s="35"/>
    </row>
    <row r="868">
      <c r="A868" s="12"/>
      <c r="B868" s="12"/>
      <c r="K868" s="35"/>
    </row>
    <row r="869">
      <c r="A869" s="12"/>
      <c r="B869" s="12"/>
      <c r="K869" s="35"/>
    </row>
    <row r="870">
      <c r="A870" s="12"/>
      <c r="B870" s="12"/>
      <c r="K870" s="35"/>
    </row>
    <row r="871">
      <c r="A871" s="12"/>
      <c r="B871" s="12"/>
      <c r="K871" s="35"/>
    </row>
    <row r="872">
      <c r="A872" s="12"/>
      <c r="B872" s="12"/>
      <c r="K872" s="35"/>
    </row>
    <row r="873">
      <c r="A873" s="12"/>
      <c r="B873" s="12"/>
      <c r="K873" s="35"/>
    </row>
    <row r="874">
      <c r="A874" s="12"/>
      <c r="B874" s="12"/>
      <c r="K874" s="35"/>
    </row>
    <row r="875">
      <c r="A875" s="12"/>
      <c r="B875" s="12"/>
      <c r="K875" s="35"/>
    </row>
    <row r="876">
      <c r="A876" s="12"/>
      <c r="B876" s="12"/>
      <c r="K876" s="35"/>
    </row>
    <row r="877">
      <c r="A877" s="12"/>
      <c r="B877" s="12"/>
      <c r="K877" s="35"/>
    </row>
    <row r="878">
      <c r="A878" s="12"/>
      <c r="B878" s="12"/>
      <c r="K878" s="35"/>
    </row>
    <row r="879">
      <c r="A879" s="12"/>
      <c r="B879" s="12"/>
      <c r="K879" s="35"/>
    </row>
    <row r="880">
      <c r="A880" s="12"/>
      <c r="B880" s="12"/>
      <c r="K880" s="35"/>
    </row>
    <row r="881">
      <c r="A881" s="12"/>
      <c r="B881" s="12"/>
      <c r="K881" s="35"/>
    </row>
    <row r="882">
      <c r="A882" s="12"/>
      <c r="B882" s="12"/>
      <c r="K882" s="35"/>
    </row>
    <row r="883">
      <c r="A883" s="12"/>
      <c r="B883" s="12"/>
      <c r="K883" s="35"/>
    </row>
    <row r="884">
      <c r="A884" s="12"/>
      <c r="B884" s="12"/>
      <c r="K884" s="35"/>
    </row>
    <row r="885">
      <c r="A885" s="12"/>
      <c r="B885" s="12"/>
      <c r="K885" s="35"/>
    </row>
    <row r="886">
      <c r="A886" s="12"/>
      <c r="B886" s="12"/>
      <c r="K886" s="35"/>
    </row>
    <row r="887">
      <c r="A887" s="12"/>
      <c r="B887" s="12"/>
      <c r="K887" s="35"/>
    </row>
    <row r="888">
      <c r="A888" s="12"/>
      <c r="B888" s="12"/>
      <c r="K888" s="35"/>
    </row>
    <row r="889">
      <c r="A889" s="12"/>
      <c r="B889" s="12"/>
      <c r="K889" s="35"/>
    </row>
    <row r="890">
      <c r="A890" s="12"/>
      <c r="B890" s="12"/>
      <c r="K890" s="35"/>
    </row>
    <row r="891">
      <c r="A891" s="12"/>
      <c r="B891" s="12"/>
      <c r="K891" s="35"/>
    </row>
    <row r="892">
      <c r="A892" s="12"/>
      <c r="B892" s="12"/>
      <c r="K892" s="35"/>
    </row>
    <row r="893">
      <c r="A893" s="12"/>
      <c r="B893" s="12"/>
      <c r="K893" s="35"/>
    </row>
    <row r="894">
      <c r="A894" s="12"/>
      <c r="B894" s="12"/>
      <c r="K894" s="35"/>
    </row>
    <row r="895">
      <c r="A895" s="12"/>
      <c r="B895" s="12"/>
      <c r="K895" s="35"/>
    </row>
    <row r="896">
      <c r="A896" s="12"/>
      <c r="B896" s="12"/>
      <c r="K896" s="35"/>
    </row>
    <row r="897">
      <c r="A897" s="12"/>
      <c r="B897" s="12"/>
      <c r="K897" s="35"/>
    </row>
    <row r="898">
      <c r="A898" s="12"/>
      <c r="B898" s="12"/>
      <c r="K898" s="35"/>
    </row>
    <row r="899">
      <c r="A899" s="12"/>
      <c r="B899" s="12"/>
      <c r="K899" s="35"/>
    </row>
    <row r="900">
      <c r="A900" s="12"/>
      <c r="B900" s="12"/>
      <c r="K900" s="35"/>
    </row>
    <row r="901">
      <c r="A901" s="12"/>
      <c r="B901" s="12"/>
      <c r="K901" s="35"/>
    </row>
    <row r="902">
      <c r="A902" s="12"/>
      <c r="B902" s="12"/>
      <c r="K902" s="35"/>
    </row>
    <row r="903">
      <c r="A903" s="12"/>
      <c r="B903" s="12"/>
      <c r="K903" s="35"/>
    </row>
    <row r="904">
      <c r="A904" s="12"/>
      <c r="B904" s="12"/>
      <c r="K904" s="35"/>
    </row>
    <row r="905">
      <c r="A905" s="12"/>
      <c r="B905" s="12"/>
      <c r="K905" s="35"/>
    </row>
    <row r="906">
      <c r="A906" s="12"/>
      <c r="B906" s="12"/>
      <c r="K906" s="35"/>
    </row>
    <row r="907">
      <c r="A907" s="12"/>
      <c r="B907" s="12"/>
      <c r="K907" s="35"/>
    </row>
    <row r="908">
      <c r="A908" s="12"/>
      <c r="B908" s="12"/>
      <c r="K908" s="35"/>
    </row>
    <row r="909">
      <c r="A909" s="12"/>
      <c r="B909" s="12"/>
      <c r="K909" s="35"/>
    </row>
    <row r="910">
      <c r="A910" s="12"/>
      <c r="B910" s="12"/>
      <c r="K910" s="35"/>
    </row>
    <row r="911">
      <c r="A911" s="12"/>
      <c r="B911" s="12"/>
      <c r="K911" s="35"/>
    </row>
    <row r="912">
      <c r="A912" s="12"/>
      <c r="B912" s="12"/>
      <c r="K912" s="35"/>
    </row>
    <row r="913">
      <c r="A913" s="12"/>
      <c r="B913" s="12"/>
      <c r="K913" s="35"/>
    </row>
    <row r="914">
      <c r="A914" s="12"/>
      <c r="B914" s="12"/>
      <c r="K914" s="35"/>
    </row>
    <row r="915">
      <c r="A915" s="12"/>
      <c r="B915" s="12"/>
      <c r="K915" s="35"/>
    </row>
    <row r="916">
      <c r="A916" s="12"/>
      <c r="B916" s="12"/>
      <c r="K916" s="35"/>
    </row>
    <row r="917">
      <c r="A917" s="12"/>
      <c r="B917" s="12"/>
      <c r="K917" s="35"/>
    </row>
    <row r="918">
      <c r="A918" s="12"/>
      <c r="B918" s="12"/>
      <c r="K918" s="35"/>
    </row>
    <row r="919">
      <c r="A919" s="12"/>
      <c r="B919" s="12"/>
      <c r="K919" s="35"/>
    </row>
    <row r="920">
      <c r="A920" s="12"/>
      <c r="B920" s="12"/>
      <c r="K920" s="35"/>
    </row>
    <row r="921">
      <c r="A921" s="12"/>
      <c r="B921" s="12"/>
      <c r="K921" s="35"/>
    </row>
    <row r="922">
      <c r="A922" s="12"/>
      <c r="B922" s="12"/>
      <c r="K922" s="35"/>
    </row>
    <row r="923">
      <c r="A923" s="12"/>
      <c r="B923" s="12"/>
      <c r="K923" s="35"/>
    </row>
    <row r="924">
      <c r="A924" s="12"/>
      <c r="B924" s="12"/>
      <c r="K924" s="35"/>
    </row>
    <row r="925">
      <c r="A925" s="12"/>
      <c r="B925" s="12"/>
      <c r="K925" s="35"/>
    </row>
    <row r="926">
      <c r="A926" s="12"/>
      <c r="B926" s="12"/>
      <c r="K926" s="35"/>
    </row>
    <row r="927">
      <c r="A927" s="12"/>
      <c r="B927" s="12"/>
      <c r="K927" s="35"/>
    </row>
    <row r="928">
      <c r="A928" s="12"/>
      <c r="B928" s="12"/>
      <c r="K928" s="35"/>
    </row>
    <row r="929">
      <c r="A929" s="12"/>
      <c r="B929" s="12"/>
      <c r="K929" s="35"/>
    </row>
    <row r="930">
      <c r="A930" s="12"/>
      <c r="B930" s="12"/>
      <c r="K930" s="35"/>
    </row>
    <row r="931">
      <c r="A931" s="12"/>
      <c r="B931" s="12"/>
      <c r="K931" s="35"/>
    </row>
    <row r="932">
      <c r="A932" s="12"/>
      <c r="B932" s="12"/>
      <c r="K932" s="35"/>
    </row>
    <row r="933">
      <c r="A933" s="12"/>
      <c r="B933" s="12"/>
      <c r="K933" s="35"/>
    </row>
    <row r="934">
      <c r="A934" s="12"/>
      <c r="B934" s="12"/>
      <c r="K934" s="35"/>
    </row>
    <row r="935">
      <c r="A935" s="12"/>
      <c r="B935" s="12"/>
      <c r="K935" s="35"/>
    </row>
    <row r="936">
      <c r="A936" s="12"/>
      <c r="B936" s="12"/>
      <c r="K936" s="35"/>
    </row>
    <row r="937">
      <c r="A937" s="12"/>
      <c r="B937" s="12"/>
      <c r="K937" s="35"/>
    </row>
    <row r="938">
      <c r="A938" s="12"/>
      <c r="B938" s="12"/>
      <c r="K938" s="35"/>
    </row>
    <row r="939">
      <c r="A939" s="12"/>
      <c r="B939" s="12"/>
      <c r="K939" s="35"/>
    </row>
    <row r="940">
      <c r="A940" s="12"/>
      <c r="B940" s="12"/>
      <c r="K940" s="35"/>
    </row>
    <row r="941">
      <c r="A941" s="12"/>
      <c r="B941" s="12"/>
      <c r="K941" s="35"/>
    </row>
    <row r="942">
      <c r="A942" s="12"/>
      <c r="B942" s="12"/>
      <c r="K942" s="35"/>
    </row>
    <row r="943">
      <c r="A943" s="12"/>
      <c r="B943" s="12"/>
      <c r="K943" s="35"/>
    </row>
    <row r="944">
      <c r="A944" s="12"/>
      <c r="B944" s="12"/>
      <c r="K944" s="35"/>
    </row>
    <row r="945">
      <c r="A945" s="12"/>
      <c r="B945" s="12"/>
      <c r="K945" s="35"/>
    </row>
    <row r="946">
      <c r="A946" s="12"/>
      <c r="B946" s="12"/>
      <c r="K946" s="35"/>
    </row>
    <row r="947">
      <c r="A947" s="12"/>
      <c r="B947" s="12"/>
      <c r="K947" s="35"/>
    </row>
    <row r="948">
      <c r="A948" s="12"/>
      <c r="B948" s="12"/>
      <c r="K948" s="35"/>
    </row>
    <row r="949">
      <c r="A949" s="12"/>
      <c r="B949" s="12"/>
      <c r="K949" s="35"/>
    </row>
    <row r="950">
      <c r="A950" s="12"/>
      <c r="B950" s="12"/>
      <c r="K950" s="35"/>
    </row>
    <row r="951">
      <c r="A951" s="12"/>
      <c r="B951" s="12"/>
      <c r="K951" s="35"/>
    </row>
    <row r="952">
      <c r="A952" s="12"/>
      <c r="B952" s="12"/>
      <c r="K952" s="35"/>
    </row>
    <row r="953">
      <c r="A953" s="12"/>
      <c r="B953" s="12"/>
      <c r="K953" s="35"/>
    </row>
    <row r="954">
      <c r="A954" s="12"/>
      <c r="B954" s="12"/>
      <c r="K954" s="35"/>
    </row>
    <row r="955">
      <c r="A955" s="12"/>
      <c r="B955" s="12"/>
      <c r="K955" s="35"/>
    </row>
    <row r="956">
      <c r="A956" s="12"/>
      <c r="B956" s="12"/>
      <c r="K956" s="35"/>
    </row>
    <row r="957">
      <c r="A957" s="12"/>
      <c r="B957" s="12"/>
      <c r="K957" s="35"/>
    </row>
    <row r="958">
      <c r="A958" s="12"/>
      <c r="B958" s="12"/>
      <c r="K958" s="35"/>
    </row>
    <row r="959">
      <c r="A959" s="12"/>
      <c r="B959" s="12"/>
      <c r="K959" s="35"/>
    </row>
    <row r="960">
      <c r="A960" s="12"/>
      <c r="B960" s="12"/>
      <c r="K960" s="35"/>
    </row>
    <row r="961">
      <c r="A961" s="12"/>
      <c r="B961" s="12"/>
      <c r="K961" s="35"/>
    </row>
    <row r="962">
      <c r="A962" s="12"/>
      <c r="B962" s="12"/>
      <c r="K962" s="35"/>
    </row>
    <row r="963">
      <c r="A963" s="12"/>
      <c r="B963" s="12"/>
      <c r="K963" s="35"/>
    </row>
    <row r="964">
      <c r="A964" s="12"/>
      <c r="B964" s="12"/>
      <c r="K964" s="35"/>
    </row>
    <row r="965">
      <c r="A965" s="12"/>
      <c r="B965" s="12"/>
      <c r="K965" s="35"/>
    </row>
    <row r="966">
      <c r="A966" s="12"/>
      <c r="B966" s="12"/>
      <c r="K966" s="35"/>
    </row>
    <row r="967">
      <c r="A967" s="12"/>
      <c r="B967" s="12"/>
      <c r="K967" s="35"/>
    </row>
    <row r="968">
      <c r="A968" s="12"/>
      <c r="B968" s="12"/>
      <c r="K968" s="35"/>
    </row>
    <row r="969">
      <c r="A969" s="12"/>
      <c r="B969" s="12"/>
      <c r="K969" s="35"/>
    </row>
    <row r="970">
      <c r="A970" s="12"/>
      <c r="B970" s="12"/>
      <c r="K970" s="35"/>
    </row>
    <row r="971">
      <c r="A971" s="12"/>
      <c r="B971" s="12"/>
      <c r="K971" s="35"/>
    </row>
    <row r="972">
      <c r="A972" s="12"/>
      <c r="B972" s="12"/>
      <c r="K972" s="35"/>
    </row>
    <row r="973">
      <c r="A973" s="12"/>
      <c r="B973" s="12"/>
      <c r="K973" s="35"/>
    </row>
    <row r="974">
      <c r="A974" s="12"/>
      <c r="B974" s="12"/>
      <c r="K974" s="35"/>
    </row>
    <row r="975">
      <c r="A975" s="12"/>
      <c r="B975" s="12"/>
      <c r="K975" s="35"/>
    </row>
    <row r="976">
      <c r="A976" s="12"/>
      <c r="B976" s="12"/>
      <c r="K976" s="35"/>
    </row>
    <row r="977">
      <c r="A977" s="12"/>
      <c r="B977" s="12"/>
      <c r="K977" s="35"/>
    </row>
    <row r="978">
      <c r="A978" s="12"/>
      <c r="B978" s="12"/>
      <c r="K978" s="35"/>
    </row>
    <row r="979">
      <c r="A979" s="12"/>
      <c r="B979" s="12"/>
      <c r="K979" s="35"/>
    </row>
    <row r="980">
      <c r="A980" s="12"/>
      <c r="B980" s="12"/>
      <c r="K980" s="35"/>
    </row>
    <row r="981">
      <c r="A981" s="12"/>
      <c r="B981" s="12"/>
      <c r="K981" s="35"/>
    </row>
    <row r="982">
      <c r="A982" s="12"/>
      <c r="B982" s="12"/>
      <c r="K982" s="35"/>
    </row>
    <row r="983">
      <c r="A983" s="12"/>
      <c r="B983" s="12"/>
      <c r="K983" s="35"/>
    </row>
    <row r="984">
      <c r="A984" s="12"/>
      <c r="B984" s="12"/>
      <c r="K984" s="35"/>
    </row>
    <row r="985">
      <c r="A985" s="12"/>
      <c r="B985" s="12"/>
      <c r="K985" s="35"/>
    </row>
    <row r="986">
      <c r="A986" s="12"/>
      <c r="B986" s="12"/>
      <c r="K986" s="35"/>
    </row>
    <row r="987">
      <c r="A987" s="12"/>
      <c r="B987" s="12"/>
      <c r="K987" s="35"/>
    </row>
    <row r="988">
      <c r="A988" s="12"/>
      <c r="B988" s="12"/>
      <c r="K988" s="35"/>
    </row>
    <row r="989">
      <c r="A989" s="12"/>
      <c r="B989" s="12"/>
      <c r="K989" s="35"/>
    </row>
    <row r="990">
      <c r="A990" s="12"/>
      <c r="B990" s="12"/>
      <c r="K990" s="35"/>
    </row>
    <row r="991">
      <c r="A991" s="12"/>
      <c r="B991" s="12"/>
      <c r="K991" s="35"/>
    </row>
    <row r="992">
      <c r="A992" s="12"/>
      <c r="B992" s="12"/>
      <c r="K992" s="35"/>
    </row>
    <row r="993">
      <c r="A993" s="12"/>
      <c r="B993" s="12"/>
      <c r="K993" s="35"/>
    </row>
    <row r="994">
      <c r="A994" s="12"/>
      <c r="B994" s="12"/>
      <c r="K994" s="35"/>
    </row>
    <row r="995">
      <c r="A995" s="12"/>
      <c r="B995" s="12"/>
      <c r="K995" s="35"/>
    </row>
    <row r="996">
      <c r="A996" s="12"/>
      <c r="B996" s="12"/>
      <c r="K996" s="35"/>
    </row>
    <row r="997">
      <c r="A997" s="12"/>
      <c r="B997" s="12"/>
      <c r="K997" s="35"/>
    </row>
    <row r="998">
      <c r="A998" s="12"/>
      <c r="B998" s="12"/>
      <c r="K998" s="35"/>
    </row>
    <row r="999">
      <c r="A999" s="12"/>
      <c r="B999" s="12"/>
      <c r="K999" s="35"/>
    </row>
    <row r="1000">
      <c r="A1000" s="12"/>
      <c r="B1000" s="12"/>
      <c r="K1000" s="35"/>
    </row>
    <row r="1001">
      <c r="A1001" s="12"/>
      <c r="B1001" s="12"/>
      <c r="K1001" s="35"/>
    </row>
    <row r="1002">
      <c r="A1002" s="12"/>
      <c r="B1002" s="12"/>
      <c r="K1002" s="35"/>
    </row>
    <row r="1003">
      <c r="A1003" s="12"/>
      <c r="B1003" s="12"/>
      <c r="K1003" s="35"/>
    </row>
    <row r="1004">
      <c r="A1004" s="12"/>
      <c r="B1004" s="12"/>
      <c r="K1004" s="35"/>
    </row>
    <row r="1005">
      <c r="A1005" s="12"/>
      <c r="B1005" s="12"/>
      <c r="K1005" s="35"/>
    </row>
    <row r="1006">
      <c r="A1006" s="12"/>
      <c r="B1006" s="12"/>
      <c r="K1006" s="35"/>
    </row>
    <row r="1007">
      <c r="A1007" s="12"/>
      <c r="B1007" s="12"/>
      <c r="K1007" s="35"/>
    </row>
    <row r="1008">
      <c r="A1008" s="12"/>
      <c r="B1008" s="12"/>
      <c r="K1008" s="35"/>
    </row>
    <row r="1009">
      <c r="A1009" s="12"/>
      <c r="B1009" s="12"/>
      <c r="K1009" s="35"/>
    </row>
    <row r="1010">
      <c r="A1010" s="12"/>
      <c r="B1010" s="12"/>
      <c r="K1010" s="35"/>
    </row>
    <row r="1011">
      <c r="A1011" s="12"/>
      <c r="B1011" s="12"/>
      <c r="K1011" s="35"/>
    </row>
    <row r="1012">
      <c r="A1012" s="12"/>
      <c r="B1012" s="12"/>
      <c r="K1012" s="35"/>
    </row>
    <row r="1013">
      <c r="A1013" s="12"/>
      <c r="B1013" s="12"/>
      <c r="K1013" s="35"/>
    </row>
    <row r="1014">
      <c r="A1014" s="12"/>
      <c r="B1014" s="12"/>
      <c r="K1014" s="35"/>
    </row>
    <row r="1015">
      <c r="A1015" s="12"/>
      <c r="B1015" s="12"/>
      <c r="K1015" s="35"/>
    </row>
    <row r="1016">
      <c r="A1016" s="12"/>
      <c r="B1016" s="12"/>
      <c r="K1016" s="35"/>
    </row>
    <row r="1017">
      <c r="A1017" s="12"/>
      <c r="B1017" s="12"/>
      <c r="K1017" s="35"/>
    </row>
    <row r="1018">
      <c r="A1018" s="12"/>
      <c r="B1018" s="12"/>
      <c r="K1018" s="35"/>
    </row>
    <row r="1019">
      <c r="A1019" s="12"/>
      <c r="B1019" s="12"/>
      <c r="K1019" s="35"/>
    </row>
    <row r="1020">
      <c r="A1020" s="12"/>
      <c r="B1020" s="12"/>
      <c r="K1020" s="35"/>
    </row>
    <row r="1021">
      <c r="A1021" s="12"/>
      <c r="B1021" s="12"/>
      <c r="K1021" s="35"/>
    </row>
    <row r="1022">
      <c r="A1022" s="12"/>
      <c r="B1022" s="12"/>
      <c r="K1022" s="35"/>
    </row>
  </sheetData>
  <mergeCells count="21">
    <mergeCell ref="C4:H5"/>
    <mergeCell ref="C6:H7"/>
    <mergeCell ref="C9:H10"/>
    <mergeCell ref="C11:H13"/>
    <mergeCell ref="C14:H14"/>
    <mergeCell ref="C15:H15"/>
    <mergeCell ref="C16:H17"/>
    <mergeCell ref="C33:H34"/>
    <mergeCell ref="C35:H38"/>
    <mergeCell ref="C39:H39"/>
    <mergeCell ref="C40:H40"/>
    <mergeCell ref="C41:H41"/>
    <mergeCell ref="C42:H43"/>
    <mergeCell ref="C44:H45"/>
    <mergeCell ref="C18:H19"/>
    <mergeCell ref="C20:H21"/>
    <mergeCell ref="C22:H22"/>
    <mergeCell ref="C23:H24"/>
    <mergeCell ref="C25:H25"/>
    <mergeCell ref="C27:H29"/>
    <mergeCell ref="C31:H3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hidden="1" min="3" max="3" width="9.25"/>
    <col customWidth="1" min="4" max="4" width="9.38"/>
    <col customWidth="1" min="5" max="5" width="5.13"/>
    <col customWidth="1" min="7" max="7" width="13.25"/>
  </cols>
  <sheetData>
    <row r="1">
      <c r="A1" s="10" t="s">
        <v>204</v>
      </c>
      <c r="B1" s="138" t="s">
        <v>205</v>
      </c>
      <c r="C1" s="139" t="s">
        <v>206</v>
      </c>
      <c r="D1" s="45" t="s">
        <v>207</v>
      </c>
      <c r="F1" s="138" t="s">
        <v>208</v>
      </c>
      <c r="G1" s="138" t="s">
        <v>209</v>
      </c>
    </row>
    <row r="2">
      <c r="A2" s="14">
        <v>1.0</v>
      </c>
      <c r="B2" s="14" t="s">
        <v>56</v>
      </c>
      <c r="C2" s="140" t="s">
        <v>210</v>
      </c>
      <c r="D2" s="140" t="s">
        <v>211</v>
      </c>
      <c r="F2" s="14" t="s">
        <v>56</v>
      </c>
      <c r="G2" s="14" t="s">
        <v>212</v>
      </c>
      <c r="H2" s="14" t="s">
        <v>213</v>
      </c>
      <c r="J2" s="14"/>
    </row>
    <row r="3">
      <c r="A3" s="14">
        <v>2.0</v>
      </c>
      <c r="B3" s="14" t="s">
        <v>102</v>
      </c>
      <c r="C3" s="140" t="s">
        <v>214</v>
      </c>
      <c r="D3" s="140" t="s">
        <v>211</v>
      </c>
      <c r="F3" s="14" t="s">
        <v>102</v>
      </c>
      <c r="G3" s="14" t="s">
        <v>215</v>
      </c>
      <c r="H3" s="14" t="s">
        <v>216</v>
      </c>
      <c r="J3" s="14"/>
    </row>
    <row r="4">
      <c r="A4" s="14">
        <v>3.0</v>
      </c>
      <c r="B4" s="14" t="s">
        <v>112</v>
      </c>
      <c r="C4" s="140" t="s">
        <v>217</v>
      </c>
      <c r="D4" s="140" t="s">
        <v>211</v>
      </c>
      <c r="F4" s="14" t="s">
        <v>112</v>
      </c>
      <c r="G4" s="14" t="s">
        <v>218</v>
      </c>
      <c r="H4" s="14" t="s">
        <v>219</v>
      </c>
      <c r="J4" s="14"/>
    </row>
    <row r="5">
      <c r="A5" s="14">
        <v>4.0</v>
      </c>
      <c r="B5" s="14" t="s">
        <v>105</v>
      </c>
      <c r="C5" s="140" t="s">
        <v>220</v>
      </c>
      <c r="D5" s="140" t="s">
        <v>211</v>
      </c>
      <c r="F5" s="14" t="s">
        <v>105</v>
      </c>
      <c r="G5" s="14" t="s">
        <v>221</v>
      </c>
      <c r="H5" s="14" t="s">
        <v>222</v>
      </c>
      <c r="J5" s="14"/>
    </row>
    <row r="6">
      <c r="A6" s="14">
        <v>5.0</v>
      </c>
      <c r="B6" s="14" t="s">
        <v>116</v>
      </c>
      <c r="C6" s="140" t="s">
        <v>223</v>
      </c>
      <c r="D6" s="140" t="s">
        <v>211</v>
      </c>
      <c r="F6" s="14" t="s">
        <v>116</v>
      </c>
      <c r="G6" s="14" t="s">
        <v>224</v>
      </c>
      <c r="H6" s="14" t="s">
        <v>225</v>
      </c>
      <c r="J6" s="14"/>
    </row>
    <row r="7">
      <c r="A7" s="14">
        <v>6.0</v>
      </c>
      <c r="B7" s="14" t="s">
        <v>122</v>
      </c>
      <c r="C7" s="140" t="s">
        <v>226</v>
      </c>
      <c r="D7" s="140" t="s">
        <v>211</v>
      </c>
      <c r="F7" s="14" t="s">
        <v>122</v>
      </c>
      <c r="G7" s="14" t="s">
        <v>227</v>
      </c>
      <c r="H7" s="14" t="s">
        <v>228</v>
      </c>
      <c r="J7" s="14"/>
    </row>
    <row r="8">
      <c r="A8" s="14">
        <v>7.0</v>
      </c>
      <c r="B8" s="14" t="s">
        <v>124</v>
      </c>
      <c r="C8" s="140" t="s">
        <v>229</v>
      </c>
      <c r="D8" s="140" t="s">
        <v>211</v>
      </c>
      <c r="F8" s="14" t="s">
        <v>124</v>
      </c>
      <c r="G8" s="14" t="s">
        <v>230</v>
      </c>
      <c r="H8" s="14" t="s">
        <v>231</v>
      </c>
    </row>
    <row r="9">
      <c r="A9" s="14">
        <v>8.0</v>
      </c>
      <c r="B9" s="14" t="s">
        <v>141</v>
      </c>
      <c r="C9" s="140" t="s">
        <v>232</v>
      </c>
      <c r="D9" s="141">
        <v>42767.0</v>
      </c>
      <c r="F9" s="14" t="s">
        <v>141</v>
      </c>
      <c r="G9" s="14" t="s">
        <v>233</v>
      </c>
      <c r="H9" s="14" t="s">
        <v>234</v>
      </c>
    </row>
    <row r="10">
      <c r="A10" s="14">
        <v>9.0</v>
      </c>
      <c r="B10" s="14" t="s">
        <v>147</v>
      </c>
      <c r="C10" s="140" t="s">
        <v>235</v>
      </c>
      <c r="D10" s="141">
        <v>42768.0</v>
      </c>
      <c r="F10" s="14" t="s">
        <v>147</v>
      </c>
      <c r="G10" s="14" t="s">
        <v>236</v>
      </c>
      <c r="H10" s="14" t="s">
        <v>237</v>
      </c>
    </row>
    <row r="11">
      <c r="A11" s="14">
        <v>10.0</v>
      </c>
      <c r="B11" s="14" t="s">
        <v>145</v>
      </c>
      <c r="C11" s="140" t="s">
        <v>238</v>
      </c>
      <c r="D11" s="141">
        <v>42768.0</v>
      </c>
      <c r="F11" s="14" t="s">
        <v>145</v>
      </c>
      <c r="G11" s="14" t="s">
        <v>239</v>
      </c>
      <c r="H11" s="14" t="s">
        <v>240</v>
      </c>
    </row>
    <row r="12">
      <c r="A12" s="14">
        <v>11.0</v>
      </c>
      <c r="B12" s="14" t="s">
        <v>144</v>
      </c>
      <c r="C12" s="140" t="s">
        <v>241</v>
      </c>
      <c r="D12" s="141">
        <v>42767.0</v>
      </c>
      <c r="F12" s="14" t="s">
        <v>144</v>
      </c>
      <c r="G12" s="14" t="s">
        <v>242</v>
      </c>
      <c r="H12" s="14" t="s">
        <v>243</v>
      </c>
    </row>
    <row r="13">
      <c r="A13" s="14">
        <v>12.0</v>
      </c>
      <c r="B13" s="14" t="s">
        <v>146</v>
      </c>
      <c r="C13" s="140" t="s">
        <v>244</v>
      </c>
      <c r="D13" s="141">
        <v>42767.0</v>
      </c>
      <c r="F13" s="14" t="s">
        <v>146</v>
      </c>
      <c r="G13" s="14" t="s">
        <v>245</v>
      </c>
      <c r="H13" s="14" t="s">
        <v>243</v>
      </c>
    </row>
    <row r="14">
      <c r="A14" s="14">
        <v>13.0</v>
      </c>
      <c r="B14" s="14" t="s">
        <v>151</v>
      </c>
      <c r="C14" s="142" t="s">
        <v>246</v>
      </c>
      <c r="D14" s="141">
        <v>42768.0</v>
      </c>
      <c r="F14" s="14" t="s">
        <v>151</v>
      </c>
      <c r="G14" s="14" t="s">
        <v>247</v>
      </c>
      <c r="H14" s="14" t="s">
        <v>248</v>
      </c>
    </row>
    <row r="15">
      <c r="A15" s="14">
        <v>14.0</v>
      </c>
      <c r="B15" s="14" t="s">
        <v>143</v>
      </c>
      <c r="C15" s="140" t="s">
        <v>249</v>
      </c>
      <c r="D15" s="141">
        <v>42768.0</v>
      </c>
      <c r="F15" s="14" t="s">
        <v>143</v>
      </c>
      <c r="G15" s="14" t="s">
        <v>250</v>
      </c>
      <c r="H15" s="14" t="s">
        <v>248</v>
      </c>
    </row>
    <row r="16">
      <c r="A16" s="14">
        <v>15.0</v>
      </c>
      <c r="B16" s="14" t="s">
        <v>150</v>
      </c>
      <c r="C16" s="140" t="s">
        <v>251</v>
      </c>
      <c r="D16" s="141">
        <v>42767.0</v>
      </c>
      <c r="F16" s="14" t="s">
        <v>150</v>
      </c>
      <c r="G16" s="14" t="s">
        <v>252</v>
      </c>
      <c r="H16" s="14" t="s">
        <v>253</v>
      </c>
    </row>
    <row r="17">
      <c r="A17" s="14">
        <v>16.0</v>
      </c>
      <c r="B17" s="14" t="s">
        <v>152</v>
      </c>
      <c r="C17" s="140" t="s">
        <v>254</v>
      </c>
      <c r="D17" s="141">
        <v>42767.0</v>
      </c>
      <c r="F17" s="14" t="s">
        <v>152</v>
      </c>
      <c r="G17" s="14" t="s">
        <v>255</v>
      </c>
      <c r="H17" s="14" t="s">
        <v>256</v>
      </c>
    </row>
    <row r="18">
      <c r="A18" s="14">
        <v>17.0</v>
      </c>
      <c r="B18" s="14" t="s">
        <v>149</v>
      </c>
      <c r="C18" s="140" t="s">
        <v>257</v>
      </c>
      <c r="D18" s="141">
        <v>42768.0</v>
      </c>
      <c r="F18" s="14" t="s">
        <v>149</v>
      </c>
      <c r="G18" s="14" t="s">
        <v>258</v>
      </c>
      <c r="H18" s="14" t="s">
        <v>259</v>
      </c>
    </row>
    <row r="19">
      <c r="A19" s="14">
        <v>18.0</v>
      </c>
      <c r="B19" s="14" t="s">
        <v>155</v>
      </c>
      <c r="C19" s="140" t="s">
        <v>260</v>
      </c>
      <c r="D19" s="141">
        <v>42768.0</v>
      </c>
      <c r="F19" s="14" t="s">
        <v>155</v>
      </c>
      <c r="G19" s="14" t="s">
        <v>261</v>
      </c>
      <c r="H19" s="14" t="s">
        <v>262</v>
      </c>
    </row>
    <row r="20">
      <c r="A20" s="14">
        <v>19.0</v>
      </c>
      <c r="B20" s="14" t="s">
        <v>154</v>
      </c>
      <c r="C20" s="140" t="s">
        <v>263</v>
      </c>
      <c r="D20" s="141">
        <v>42767.0</v>
      </c>
      <c r="F20" s="14" t="s">
        <v>154</v>
      </c>
      <c r="G20" s="14" t="s">
        <v>264</v>
      </c>
      <c r="H20" s="14" t="s">
        <v>265</v>
      </c>
    </row>
    <row r="21">
      <c r="A21" s="14">
        <v>20.0</v>
      </c>
      <c r="B21" s="14" t="s">
        <v>148</v>
      </c>
      <c r="C21" s="140" t="s">
        <v>266</v>
      </c>
      <c r="D21" s="141">
        <v>42767.0</v>
      </c>
      <c r="F21" s="14" t="s">
        <v>148</v>
      </c>
      <c r="G21" s="14" t="s">
        <v>267</v>
      </c>
      <c r="H21" s="14" t="s">
        <v>268</v>
      </c>
    </row>
    <row r="22">
      <c r="A22" s="14">
        <v>21.0</v>
      </c>
      <c r="B22" s="14" t="s">
        <v>153</v>
      </c>
      <c r="C22" s="140" t="s">
        <v>269</v>
      </c>
      <c r="D22" s="141">
        <v>42768.0</v>
      </c>
      <c r="F22" s="14" t="s">
        <v>153</v>
      </c>
      <c r="G22" s="14" t="s">
        <v>270</v>
      </c>
      <c r="H22" s="14" t="s">
        <v>271</v>
      </c>
    </row>
    <row r="23">
      <c r="A23" s="14">
        <v>22.0</v>
      </c>
      <c r="B23" s="14" t="s">
        <v>174</v>
      </c>
      <c r="C23" s="140" t="s">
        <v>272</v>
      </c>
      <c r="D23" s="143">
        <v>42795.0</v>
      </c>
      <c r="F23" s="14" t="s">
        <v>174</v>
      </c>
      <c r="G23" s="14" t="s">
        <v>273</v>
      </c>
      <c r="H23" s="14" t="s">
        <v>274</v>
      </c>
    </row>
    <row r="24">
      <c r="A24" s="14">
        <v>23.0</v>
      </c>
      <c r="B24" s="14" t="s">
        <v>178</v>
      </c>
      <c r="C24" s="140" t="s">
        <v>275</v>
      </c>
      <c r="D24" s="143">
        <v>42796.0</v>
      </c>
      <c r="F24" s="14" t="s">
        <v>178</v>
      </c>
      <c r="G24" s="14" t="s">
        <v>276</v>
      </c>
      <c r="H24" s="14" t="s">
        <v>277</v>
      </c>
    </row>
    <row r="25">
      <c r="A25" s="14">
        <v>24.0</v>
      </c>
      <c r="B25" s="14" t="s">
        <v>176</v>
      </c>
      <c r="C25" s="140" t="s">
        <v>278</v>
      </c>
      <c r="D25" s="143">
        <v>42797.0</v>
      </c>
      <c r="F25" s="14" t="s">
        <v>176</v>
      </c>
      <c r="G25" s="14" t="s">
        <v>279</v>
      </c>
      <c r="H25" s="14" t="s">
        <v>280</v>
      </c>
    </row>
    <row r="26">
      <c r="A26" s="14">
        <v>25.0</v>
      </c>
      <c r="B26" s="14" t="s">
        <v>182</v>
      </c>
      <c r="C26" s="140" t="s">
        <v>281</v>
      </c>
      <c r="D26" s="143">
        <v>42797.0</v>
      </c>
      <c r="F26" s="14" t="s">
        <v>182</v>
      </c>
      <c r="G26" s="14" t="s">
        <v>282</v>
      </c>
      <c r="H26" s="14" t="s">
        <v>283</v>
      </c>
    </row>
    <row r="27">
      <c r="A27" s="14">
        <v>26.0</v>
      </c>
      <c r="B27" s="14" t="s">
        <v>181</v>
      </c>
      <c r="C27" s="140" t="s">
        <v>284</v>
      </c>
      <c r="D27" s="143">
        <v>42796.0</v>
      </c>
      <c r="F27" s="14" t="s">
        <v>181</v>
      </c>
      <c r="G27" s="14" t="s">
        <v>285</v>
      </c>
      <c r="H27" s="14" t="s">
        <v>286</v>
      </c>
    </row>
    <row r="28">
      <c r="A28" s="14">
        <v>27.0</v>
      </c>
      <c r="B28" s="14" t="s">
        <v>180</v>
      </c>
      <c r="C28" s="140" t="s">
        <v>287</v>
      </c>
      <c r="D28" s="143">
        <v>42795.0</v>
      </c>
      <c r="F28" s="14" t="s">
        <v>180</v>
      </c>
      <c r="G28" s="14" t="s">
        <v>288</v>
      </c>
      <c r="H28" s="14" t="s">
        <v>289</v>
      </c>
    </row>
    <row r="29">
      <c r="A29" s="14">
        <v>28.0</v>
      </c>
      <c r="B29" s="14" t="s">
        <v>171</v>
      </c>
      <c r="C29" s="140" t="s">
        <v>290</v>
      </c>
      <c r="D29" s="143">
        <v>42795.0</v>
      </c>
      <c r="F29" s="14" t="s">
        <v>171</v>
      </c>
      <c r="G29" s="14" t="s">
        <v>291</v>
      </c>
      <c r="H29" s="14" t="s">
        <v>292</v>
      </c>
    </row>
    <row r="30">
      <c r="A30" s="14">
        <v>29.0</v>
      </c>
      <c r="B30" s="14" t="s">
        <v>165</v>
      </c>
      <c r="C30" s="140" t="s">
        <v>293</v>
      </c>
      <c r="D30" s="143">
        <v>42796.0</v>
      </c>
      <c r="F30" s="14" t="s">
        <v>165</v>
      </c>
      <c r="G30" s="14" t="s">
        <v>294</v>
      </c>
      <c r="H30" s="14" t="s">
        <v>295</v>
      </c>
    </row>
    <row r="31">
      <c r="A31" s="14">
        <v>30.0</v>
      </c>
      <c r="B31" s="14" t="s">
        <v>170</v>
      </c>
      <c r="C31" s="140" t="s">
        <v>296</v>
      </c>
      <c r="D31" s="143">
        <v>42797.0</v>
      </c>
      <c r="F31" s="14" t="s">
        <v>170</v>
      </c>
      <c r="G31" s="14" t="s">
        <v>297</v>
      </c>
      <c r="H31" s="14" t="s">
        <v>298</v>
      </c>
    </row>
    <row r="32">
      <c r="A32" s="14">
        <v>31.0</v>
      </c>
      <c r="B32" s="14" t="s">
        <v>179</v>
      </c>
      <c r="C32" s="140" t="s">
        <v>299</v>
      </c>
      <c r="D32" s="143">
        <v>42797.0</v>
      </c>
      <c r="F32" s="14" t="s">
        <v>179</v>
      </c>
      <c r="G32" s="14" t="s">
        <v>300</v>
      </c>
      <c r="H32" s="14" t="s">
        <v>298</v>
      </c>
      <c r="I32" s="144"/>
    </row>
    <row r="33">
      <c r="A33" s="14">
        <v>32.0</v>
      </c>
      <c r="B33" s="14" t="s">
        <v>162</v>
      </c>
      <c r="C33" s="140" t="s">
        <v>301</v>
      </c>
      <c r="D33" s="143">
        <v>42796.0</v>
      </c>
      <c r="F33" s="14" t="s">
        <v>162</v>
      </c>
      <c r="G33" s="14" t="s">
        <v>302</v>
      </c>
      <c r="H33" s="14" t="s">
        <v>303</v>
      </c>
    </row>
    <row r="34">
      <c r="A34" s="14">
        <v>33.0</v>
      </c>
      <c r="B34" s="14" t="s">
        <v>164</v>
      </c>
      <c r="C34" s="140" t="s">
        <v>304</v>
      </c>
      <c r="D34" s="143">
        <v>42795.0</v>
      </c>
      <c r="F34" s="14" t="s">
        <v>164</v>
      </c>
      <c r="G34" s="14" t="s">
        <v>305</v>
      </c>
      <c r="H34" s="14" t="s">
        <v>303</v>
      </c>
    </row>
    <row r="35">
      <c r="A35" s="14">
        <v>34.0</v>
      </c>
      <c r="B35" s="14" t="s">
        <v>167</v>
      </c>
      <c r="C35" s="140" t="s">
        <v>306</v>
      </c>
      <c r="D35" s="143">
        <v>42795.0</v>
      </c>
      <c r="F35" s="14" t="s">
        <v>167</v>
      </c>
      <c r="G35" s="14" t="s">
        <v>307</v>
      </c>
      <c r="H35" s="14" t="s">
        <v>308</v>
      </c>
    </row>
    <row r="36">
      <c r="A36" s="14">
        <v>35.0</v>
      </c>
      <c r="B36" s="14" t="s">
        <v>168</v>
      </c>
      <c r="C36" s="140" t="s">
        <v>309</v>
      </c>
      <c r="D36" s="143">
        <v>42796.0</v>
      </c>
      <c r="F36" s="14" t="s">
        <v>168</v>
      </c>
      <c r="G36" s="14" t="s">
        <v>310</v>
      </c>
      <c r="H36" s="14" t="s">
        <v>308</v>
      </c>
    </row>
    <row r="37">
      <c r="A37" s="14">
        <v>36.0</v>
      </c>
      <c r="B37" s="14" t="s">
        <v>166</v>
      </c>
      <c r="C37" s="140" t="s">
        <v>311</v>
      </c>
      <c r="D37" s="143">
        <v>42797.0</v>
      </c>
      <c r="F37" s="14" t="s">
        <v>166</v>
      </c>
      <c r="G37" s="14" t="s">
        <v>312</v>
      </c>
      <c r="H37" s="14" t="s">
        <v>313</v>
      </c>
    </row>
    <row r="38">
      <c r="A38" s="14">
        <v>37.0</v>
      </c>
      <c r="B38" s="14" t="s">
        <v>173</v>
      </c>
      <c r="C38" s="140" t="s">
        <v>314</v>
      </c>
      <c r="D38" s="143">
        <v>42797.0</v>
      </c>
      <c r="F38" s="14" t="s">
        <v>173</v>
      </c>
      <c r="G38" s="14" t="s">
        <v>315</v>
      </c>
      <c r="H38" s="14" t="s">
        <v>316</v>
      </c>
    </row>
    <row r="39">
      <c r="A39" s="14">
        <v>38.0</v>
      </c>
      <c r="B39" s="14" t="s">
        <v>175</v>
      </c>
      <c r="C39" s="140" t="s">
        <v>317</v>
      </c>
      <c r="D39" s="143">
        <v>42796.0</v>
      </c>
      <c r="F39" s="14" t="s">
        <v>175</v>
      </c>
      <c r="G39" s="14" t="s">
        <v>318</v>
      </c>
      <c r="H39" s="14" t="s">
        <v>319</v>
      </c>
    </row>
    <row r="40">
      <c r="A40" s="14">
        <v>39.0</v>
      </c>
      <c r="B40" s="14" t="s">
        <v>161</v>
      </c>
      <c r="C40" s="140" t="s">
        <v>320</v>
      </c>
      <c r="D40" s="143">
        <v>42795.0</v>
      </c>
      <c r="F40" s="14" t="s">
        <v>161</v>
      </c>
      <c r="G40" s="14" t="s">
        <v>321</v>
      </c>
      <c r="H40" s="14" t="s">
        <v>319</v>
      </c>
    </row>
    <row r="41">
      <c r="A41" s="14">
        <v>40.0</v>
      </c>
      <c r="B41" s="14" t="s">
        <v>177</v>
      </c>
      <c r="C41" s="140" t="s">
        <v>322</v>
      </c>
      <c r="D41" s="143">
        <v>42795.0</v>
      </c>
      <c r="F41" s="14" t="s">
        <v>177</v>
      </c>
      <c r="G41" s="14" t="s">
        <v>323</v>
      </c>
      <c r="H41" s="14" t="s">
        <v>319</v>
      </c>
    </row>
    <row r="42">
      <c r="A42" s="14">
        <v>41.0</v>
      </c>
      <c r="B42" s="14" t="s">
        <v>172</v>
      </c>
      <c r="C42" s="140" t="s">
        <v>324</v>
      </c>
      <c r="D42" s="143">
        <v>42796.0</v>
      </c>
      <c r="F42" s="14" t="s">
        <v>172</v>
      </c>
      <c r="G42" s="14" t="s">
        <v>325</v>
      </c>
      <c r="H42" s="34" t="s">
        <v>326</v>
      </c>
    </row>
    <row r="43">
      <c r="A43" s="14">
        <v>42.0</v>
      </c>
      <c r="B43" s="14" t="s">
        <v>163</v>
      </c>
      <c r="C43" s="140" t="s">
        <v>327</v>
      </c>
      <c r="D43" s="143">
        <v>42797.0</v>
      </c>
      <c r="F43" s="14" t="s">
        <v>163</v>
      </c>
      <c r="G43" s="14" t="s">
        <v>328</v>
      </c>
      <c r="H43" s="14" t="s">
        <v>326</v>
      </c>
    </row>
    <row r="44">
      <c r="A44" s="14">
        <v>43.0</v>
      </c>
      <c r="B44" s="14" t="s">
        <v>187</v>
      </c>
      <c r="D44" s="141">
        <v>42826.0</v>
      </c>
      <c r="F44" s="14" t="s">
        <v>187</v>
      </c>
      <c r="G44" s="14" t="s">
        <v>329</v>
      </c>
      <c r="H44" s="14" t="s">
        <v>326</v>
      </c>
    </row>
    <row r="45">
      <c r="A45" s="14">
        <v>44.0</v>
      </c>
      <c r="B45" s="14" t="s">
        <v>192</v>
      </c>
      <c r="D45" s="141">
        <v>42827.0</v>
      </c>
      <c r="F45" s="14" t="s">
        <v>192</v>
      </c>
      <c r="G45" s="14" t="s">
        <v>331</v>
      </c>
      <c r="H45" s="14" t="s">
        <v>332</v>
      </c>
    </row>
    <row r="46">
      <c r="A46" s="14">
        <v>45.0</v>
      </c>
      <c r="B46" s="14" t="s">
        <v>196</v>
      </c>
      <c r="D46" s="141">
        <v>42827.0</v>
      </c>
      <c r="F46" s="14" t="s">
        <v>196</v>
      </c>
      <c r="G46" s="14" t="s">
        <v>334</v>
      </c>
      <c r="H46" s="14" t="s">
        <v>335</v>
      </c>
    </row>
    <row r="47">
      <c r="A47" s="14">
        <v>46.0</v>
      </c>
      <c r="B47" s="14" t="s">
        <v>195</v>
      </c>
      <c r="D47" s="141">
        <v>42826.0</v>
      </c>
      <c r="F47" s="14" t="s">
        <v>195</v>
      </c>
      <c r="G47" s="14" t="s">
        <v>337</v>
      </c>
      <c r="H47" s="14" t="s">
        <v>338</v>
      </c>
    </row>
    <row r="48">
      <c r="A48" s="14">
        <v>47.0</v>
      </c>
      <c r="B48" s="14" t="s">
        <v>189</v>
      </c>
      <c r="D48" s="141">
        <v>42826.0</v>
      </c>
      <c r="F48" s="14" t="s">
        <v>189</v>
      </c>
      <c r="G48" s="14" t="s">
        <v>339</v>
      </c>
      <c r="H48" s="14" t="s">
        <v>340</v>
      </c>
    </row>
    <row r="49">
      <c r="A49" s="14">
        <v>48.0</v>
      </c>
      <c r="B49" s="14" t="s">
        <v>190</v>
      </c>
      <c r="C49" s="146"/>
      <c r="D49" s="141">
        <v>42827.0</v>
      </c>
      <c r="F49" s="14" t="s">
        <v>190</v>
      </c>
      <c r="G49" s="14" t="s">
        <v>341</v>
      </c>
      <c r="H49" s="14" t="s">
        <v>340</v>
      </c>
    </row>
    <row r="50">
      <c r="A50" s="14">
        <v>49.0</v>
      </c>
      <c r="B50" s="14" t="s">
        <v>198</v>
      </c>
      <c r="C50" s="146"/>
      <c r="D50" s="141">
        <v>42827.0</v>
      </c>
      <c r="F50" s="14" t="s">
        <v>198</v>
      </c>
      <c r="G50" s="14" t="s">
        <v>342</v>
      </c>
      <c r="H50" s="14" t="s">
        <v>340</v>
      </c>
    </row>
    <row r="51">
      <c r="A51" s="14">
        <v>50.0</v>
      </c>
      <c r="B51" s="14" t="s">
        <v>191</v>
      </c>
      <c r="C51" s="148"/>
      <c r="D51" s="141">
        <v>42826.0</v>
      </c>
      <c r="F51" s="14" t="s">
        <v>191</v>
      </c>
      <c r="G51" s="14" t="s">
        <v>343</v>
      </c>
      <c r="H51" s="14" t="s">
        <v>340</v>
      </c>
    </row>
    <row r="52">
      <c r="A52" s="14">
        <v>51.0</v>
      </c>
      <c r="B52" s="14" t="s">
        <v>197</v>
      </c>
      <c r="C52" s="148"/>
      <c r="D52" s="141">
        <v>42826.0</v>
      </c>
      <c r="F52" s="14" t="s">
        <v>197</v>
      </c>
      <c r="G52" s="14" t="s">
        <v>345</v>
      </c>
      <c r="H52" s="14" t="s">
        <v>346</v>
      </c>
    </row>
    <row r="53">
      <c r="A53" s="14">
        <v>52.0</v>
      </c>
      <c r="B53" s="14" t="s">
        <v>194</v>
      </c>
      <c r="C53" s="148"/>
      <c r="D53" s="141">
        <v>42827.0</v>
      </c>
      <c r="F53" s="14" t="s">
        <v>194</v>
      </c>
      <c r="G53" s="14" t="s">
        <v>347</v>
      </c>
      <c r="H53" s="14" t="s">
        <v>348</v>
      </c>
    </row>
    <row r="54">
      <c r="A54" s="14">
        <v>53.0</v>
      </c>
      <c r="B54" s="14" t="s">
        <v>200</v>
      </c>
      <c r="C54" s="148"/>
      <c r="D54" s="141">
        <v>42827.0</v>
      </c>
      <c r="F54" s="14" t="s">
        <v>200</v>
      </c>
      <c r="G54" s="14" t="s">
        <v>349</v>
      </c>
      <c r="H54" s="14" t="s">
        <v>348</v>
      </c>
    </row>
    <row r="55">
      <c r="A55" s="14">
        <v>54.0</v>
      </c>
      <c r="B55" s="14" t="s">
        <v>199</v>
      </c>
      <c r="C55" s="148"/>
      <c r="D55" s="141">
        <v>42826.0</v>
      </c>
      <c r="F55" s="14" t="s">
        <v>199</v>
      </c>
      <c r="G55" s="14" t="s">
        <v>350</v>
      </c>
      <c r="H55" s="14" t="s">
        <v>351</v>
      </c>
    </row>
    <row r="56">
      <c r="A56" s="14">
        <v>55.0</v>
      </c>
      <c r="B56" s="14" t="s">
        <v>193</v>
      </c>
      <c r="C56" s="148"/>
      <c r="D56" s="141">
        <v>42826.0</v>
      </c>
      <c r="F56" s="14" t="s">
        <v>193</v>
      </c>
      <c r="G56" s="14" t="s">
        <v>352</v>
      </c>
      <c r="H56" s="14" t="s">
        <v>351</v>
      </c>
    </row>
    <row r="57">
      <c r="A57" s="14">
        <v>56.0</v>
      </c>
      <c r="B57" s="14" t="s">
        <v>188</v>
      </c>
      <c r="C57" s="148"/>
      <c r="D57" s="141">
        <v>42827.0</v>
      </c>
      <c r="F57" s="14" t="s">
        <v>188</v>
      </c>
      <c r="G57" s="14" t="s">
        <v>354</v>
      </c>
      <c r="H57" s="14" t="s">
        <v>355</v>
      </c>
    </row>
    <row r="58">
      <c r="A58" s="14">
        <v>57.0</v>
      </c>
      <c r="C58" s="148"/>
      <c r="D58" s="150"/>
    </row>
    <row r="59">
      <c r="A59" s="14">
        <v>58.0</v>
      </c>
      <c r="C59" s="148"/>
      <c r="D59" s="150"/>
    </row>
    <row r="60">
      <c r="A60" s="14">
        <v>59.0</v>
      </c>
      <c r="C60" s="148"/>
      <c r="D60" s="150"/>
    </row>
    <row r="61">
      <c r="A61" s="14">
        <v>60.0</v>
      </c>
      <c r="C61" s="148"/>
      <c r="D61" s="150"/>
    </row>
    <row r="62">
      <c r="A62" s="14">
        <v>61.0</v>
      </c>
      <c r="C62" s="148"/>
    </row>
    <row r="63">
      <c r="A63" s="14">
        <v>62.0</v>
      </c>
      <c r="C63" s="148"/>
    </row>
    <row r="64">
      <c r="A64" s="14">
        <v>63.0</v>
      </c>
      <c r="C64" s="148"/>
    </row>
    <row r="65">
      <c r="A65" s="14">
        <v>64.0</v>
      </c>
      <c r="C65" s="148"/>
    </row>
    <row r="66">
      <c r="A66" s="14">
        <v>65.0</v>
      </c>
      <c r="C66" s="148"/>
    </row>
    <row r="67">
      <c r="A67" s="14">
        <v>66.0</v>
      </c>
      <c r="C67" s="148"/>
    </row>
    <row r="68">
      <c r="A68" s="14">
        <v>67.0</v>
      </c>
      <c r="C68" s="148"/>
    </row>
    <row r="69">
      <c r="A69" s="14">
        <v>68.0</v>
      </c>
      <c r="C69" s="148"/>
    </row>
    <row r="70">
      <c r="A70" s="14">
        <v>69.0</v>
      </c>
      <c r="C70" s="148"/>
    </row>
    <row r="71">
      <c r="A71" s="14">
        <v>70.0</v>
      </c>
      <c r="C71" s="148"/>
    </row>
    <row r="72">
      <c r="C72" s="148"/>
    </row>
    <row r="73">
      <c r="C73" s="148"/>
    </row>
    <row r="74">
      <c r="C74" s="148"/>
    </row>
    <row r="75">
      <c r="C75" s="148"/>
    </row>
    <row r="76">
      <c r="C76" s="148"/>
    </row>
    <row r="77">
      <c r="C77" s="148"/>
    </row>
    <row r="78">
      <c r="C78" s="148"/>
    </row>
    <row r="79">
      <c r="C79" s="148"/>
    </row>
    <row r="80">
      <c r="C80" s="148"/>
    </row>
    <row r="81">
      <c r="C81" s="148"/>
    </row>
    <row r="82">
      <c r="C82" s="148"/>
    </row>
    <row r="83">
      <c r="C83" s="148"/>
    </row>
    <row r="84">
      <c r="C84" s="148"/>
    </row>
    <row r="85">
      <c r="C85" s="148"/>
    </row>
    <row r="86">
      <c r="C86" s="148"/>
    </row>
    <row r="87">
      <c r="C87" s="148"/>
    </row>
    <row r="88">
      <c r="C88" s="148"/>
    </row>
    <row r="89">
      <c r="C89" s="148"/>
    </row>
    <row r="90">
      <c r="C90" s="148"/>
    </row>
    <row r="91">
      <c r="C91" s="148"/>
    </row>
    <row r="92">
      <c r="C92" s="148"/>
    </row>
    <row r="93">
      <c r="C93" s="148"/>
    </row>
    <row r="94">
      <c r="C94" s="148"/>
    </row>
    <row r="95">
      <c r="C95" s="148"/>
    </row>
    <row r="96">
      <c r="C96" s="148"/>
    </row>
    <row r="97">
      <c r="C97" s="148"/>
    </row>
    <row r="98">
      <c r="C98" s="148"/>
    </row>
    <row r="99">
      <c r="C99" s="148"/>
    </row>
    <row r="100">
      <c r="C100" s="148"/>
    </row>
    <row r="101">
      <c r="C101" s="148"/>
    </row>
    <row r="102">
      <c r="C102" s="148"/>
    </row>
    <row r="103">
      <c r="C103" s="148"/>
    </row>
    <row r="104">
      <c r="C104" s="148"/>
    </row>
    <row r="105">
      <c r="C105" s="148"/>
    </row>
    <row r="106">
      <c r="C106" s="148"/>
    </row>
    <row r="107">
      <c r="C107" s="148"/>
    </row>
    <row r="108">
      <c r="C108" s="148"/>
    </row>
    <row r="109">
      <c r="C109" s="148"/>
    </row>
    <row r="110">
      <c r="C110" s="148"/>
    </row>
    <row r="111">
      <c r="C111" s="148"/>
    </row>
    <row r="112">
      <c r="C112" s="148"/>
    </row>
    <row r="113">
      <c r="C113" s="148"/>
    </row>
    <row r="114">
      <c r="C114" s="148"/>
    </row>
    <row r="115">
      <c r="C115" s="148"/>
    </row>
    <row r="116">
      <c r="C116" s="148"/>
    </row>
    <row r="117">
      <c r="C117" s="148"/>
    </row>
    <row r="118">
      <c r="C118" s="148"/>
    </row>
    <row r="119">
      <c r="C119" s="148"/>
    </row>
    <row r="120">
      <c r="C120" s="148"/>
    </row>
    <row r="121">
      <c r="C121" s="148"/>
    </row>
    <row r="122">
      <c r="C122" s="148"/>
    </row>
    <row r="123">
      <c r="C123" s="148"/>
    </row>
    <row r="124">
      <c r="C124" s="148"/>
    </row>
    <row r="125">
      <c r="C125" s="148"/>
    </row>
    <row r="126">
      <c r="C126" s="148"/>
    </row>
    <row r="127">
      <c r="C127" s="148"/>
    </row>
    <row r="128">
      <c r="C128" s="148"/>
    </row>
    <row r="129">
      <c r="C129" s="148"/>
    </row>
    <row r="130">
      <c r="C130" s="148"/>
    </row>
    <row r="131">
      <c r="C131" s="148"/>
    </row>
    <row r="132">
      <c r="C132" s="148"/>
    </row>
    <row r="133">
      <c r="C133" s="148"/>
    </row>
    <row r="134">
      <c r="C134" s="148"/>
    </row>
    <row r="135">
      <c r="C135" s="148"/>
    </row>
    <row r="136">
      <c r="C136" s="148"/>
    </row>
    <row r="137">
      <c r="C137" s="148"/>
    </row>
    <row r="138">
      <c r="C138" s="148"/>
    </row>
    <row r="139">
      <c r="C139" s="148"/>
    </row>
    <row r="140">
      <c r="C140" s="148"/>
    </row>
    <row r="141">
      <c r="C141" s="148"/>
    </row>
    <row r="142">
      <c r="C142" s="148"/>
    </row>
    <row r="143">
      <c r="C143" s="148"/>
    </row>
    <row r="144">
      <c r="C144" s="148"/>
    </row>
    <row r="145">
      <c r="C145" s="148"/>
    </row>
    <row r="146">
      <c r="C146" s="148"/>
    </row>
    <row r="147">
      <c r="C147" s="148"/>
    </row>
    <row r="148">
      <c r="C148" s="148"/>
    </row>
    <row r="149">
      <c r="C149" s="148"/>
    </row>
    <row r="150">
      <c r="C150" s="148"/>
    </row>
    <row r="151">
      <c r="C151" s="148"/>
    </row>
    <row r="152">
      <c r="C152" s="148"/>
    </row>
    <row r="153">
      <c r="C153" s="148"/>
    </row>
    <row r="154">
      <c r="C154" s="148"/>
    </row>
    <row r="155">
      <c r="C155" s="148"/>
    </row>
    <row r="156">
      <c r="C156" s="148"/>
    </row>
    <row r="157">
      <c r="C157" s="148"/>
    </row>
    <row r="158">
      <c r="C158" s="148"/>
    </row>
    <row r="159">
      <c r="C159" s="148"/>
    </row>
    <row r="160">
      <c r="C160" s="148"/>
    </row>
    <row r="161">
      <c r="C161" s="148"/>
    </row>
    <row r="162">
      <c r="C162" s="148"/>
    </row>
    <row r="163">
      <c r="C163" s="148"/>
    </row>
    <row r="164">
      <c r="C164" s="148"/>
    </row>
    <row r="165">
      <c r="C165" s="148"/>
    </row>
    <row r="166">
      <c r="C166" s="148"/>
    </row>
    <row r="167">
      <c r="C167" s="148"/>
    </row>
    <row r="168">
      <c r="C168" s="148"/>
    </row>
    <row r="169">
      <c r="C169" s="148"/>
    </row>
    <row r="170">
      <c r="C170" s="148"/>
    </row>
    <row r="171">
      <c r="C171" s="148"/>
    </row>
    <row r="172">
      <c r="C172" s="148"/>
    </row>
    <row r="173">
      <c r="C173" s="148"/>
    </row>
    <row r="174">
      <c r="C174" s="148"/>
    </row>
    <row r="175">
      <c r="C175" s="148"/>
    </row>
    <row r="176">
      <c r="C176" s="148"/>
    </row>
    <row r="177">
      <c r="C177" s="148"/>
    </row>
    <row r="178">
      <c r="C178" s="148"/>
    </row>
    <row r="179">
      <c r="C179" s="148"/>
    </row>
    <row r="180">
      <c r="C180" s="148"/>
    </row>
    <row r="181">
      <c r="C181" s="148"/>
    </row>
    <row r="182">
      <c r="C182" s="148"/>
    </row>
    <row r="183">
      <c r="C183" s="148"/>
    </row>
    <row r="184">
      <c r="C184" s="148"/>
    </row>
    <row r="185">
      <c r="C185" s="148"/>
    </row>
    <row r="186">
      <c r="C186" s="148"/>
    </row>
    <row r="187">
      <c r="C187" s="148"/>
    </row>
    <row r="188">
      <c r="C188" s="148"/>
    </row>
    <row r="189">
      <c r="C189" s="148"/>
    </row>
    <row r="190">
      <c r="C190" s="148"/>
    </row>
    <row r="191">
      <c r="C191" s="148"/>
    </row>
    <row r="192">
      <c r="C192" s="148"/>
    </row>
    <row r="193">
      <c r="C193" s="148"/>
    </row>
    <row r="194">
      <c r="C194" s="148"/>
    </row>
    <row r="195">
      <c r="C195" s="148"/>
    </row>
    <row r="196">
      <c r="C196" s="148"/>
    </row>
    <row r="197">
      <c r="C197" s="148"/>
    </row>
    <row r="198">
      <c r="C198" s="148"/>
    </row>
    <row r="199">
      <c r="C199" s="148"/>
    </row>
    <row r="200">
      <c r="C200" s="148"/>
    </row>
    <row r="201">
      <c r="C201" s="148"/>
    </row>
    <row r="202">
      <c r="C202" s="148"/>
    </row>
    <row r="203">
      <c r="C203" s="148"/>
    </row>
    <row r="204">
      <c r="C204" s="148"/>
    </row>
    <row r="205">
      <c r="C205" s="148"/>
    </row>
    <row r="206">
      <c r="C206" s="148"/>
    </row>
    <row r="207">
      <c r="C207" s="148"/>
    </row>
    <row r="208">
      <c r="C208" s="148"/>
    </row>
    <row r="209">
      <c r="C209" s="148"/>
    </row>
    <row r="210">
      <c r="C210" s="148"/>
    </row>
    <row r="211">
      <c r="C211" s="148"/>
    </row>
    <row r="212">
      <c r="C212" s="148"/>
    </row>
    <row r="213">
      <c r="C213" s="148"/>
    </row>
    <row r="214">
      <c r="C214" s="148"/>
    </row>
    <row r="215">
      <c r="C215" s="148"/>
    </row>
    <row r="216">
      <c r="C216" s="148"/>
    </row>
    <row r="217">
      <c r="C217" s="148"/>
    </row>
    <row r="218">
      <c r="C218" s="148"/>
    </row>
    <row r="219">
      <c r="C219" s="148"/>
    </row>
    <row r="220">
      <c r="C220" s="148"/>
    </row>
    <row r="221">
      <c r="C221" s="148"/>
    </row>
    <row r="222">
      <c r="C222" s="148"/>
    </row>
    <row r="223">
      <c r="C223" s="148"/>
    </row>
    <row r="224">
      <c r="C224" s="148"/>
    </row>
    <row r="225">
      <c r="C225" s="148"/>
    </row>
    <row r="226">
      <c r="C226" s="148"/>
    </row>
    <row r="227">
      <c r="C227" s="148"/>
    </row>
    <row r="228">
      <c r="C228" s="148"/>
    </row>
    <row r="229">
      <c r="C229" s="148"/>
    </row>
    <row r="230">
      <c r="C230" s="148"/>
    </row>
    <row r="231">
      <c r="C231" s="148"/>
    </row>
    <row r="232">
      <c r="C232" s="148"/>
    </row>
    <row r="233">
      <c r="C233" s="148"/>
    </row>
    <row r="234">
      <c r="C234" s="148"/>
    </row>
    <row r="235">
      <c r="C235" s="148"/>
    </row>
    <row r="236">
      <c r="C236" s="148"/>
    </row>
    <row r="237">
      <c r="C237" s="148"/>
    </row>
    <row r="238">
      <c r="C238" s="148"/>
    </row>
    <row r="239">
      <c r="C239" s="148"/>
    </row>
    <row r="240">
      <c r="C240" s="148"/>
    </row>
    <row r="241">
      <c r="C241" s="148"/>
    </row>
    <row r="242">
      <c r="C242" s="148"/>
    </row>
    <row r="243">
      <c r="C243" s="148"/>
    </row>
    <row r="244">
      <c r="C244" s="148"/>
    </row>
    <row r="245">
      <c r="C245" s="148"/>
    </row>
    <row r="246">
      <c r="C246" s="148"/>
    </row>
    <row r="247">
      <c r="C247" s="148"/>
    </row>
    <row r="248">
      <c r="C248" s="148"/>
    </row>
    <row r="249">
      <c r="C249" s="148"/>
    </row>
    <row r="250">
      <c r="C250" s="148"/>
    </row>
    <row r="251">
      <c r="C251" s="148"/>
    </row>
    <row r="252">
      <c r="C252" s="148"/>
    </row>
    <row r="253">
      <c r="C253" s="148"/>
    </row>
    <row r="254">
      <c r="C254" s="148"/>
    </row>
    <row r="255">
      <c r="C255" s="148"/>
    </row>
    <row r="256">
      <c r="C256" s="148"/>
    </row>
    <row r="257">
      <c r="C257" s="148"/>
    </row>
    <row r="258">
      <c r="C258" s="148"/>
    </row>
    <row r="259">
      <c r="C259" s="148"/>
    </row>
    <row r="260">
      <c r="C260" s="148"/>
    </row>
    <row r="261">
      <c r="C261" s="148"/>
    </row>
    <row r="262">
      <c r="C262" s="148"/>
    </row>
    <row r="263">
      <c r="C263" s="148"/>
    </row>
    <row r="264">
      <c r="C264" s="148"/>
    </row>
    <row r="265">
      <c r="C265" s="148"/>
    </row>
    <row r="266">
      <c r="C266" s="148"/>
    </row>
    <row r="267">
      <c r="C267" s="148"/>
    </row>
    <row r="268">
      <c r="C268" s="148"/>
    </row>
    <row r="269">
      <c r="C269" s="148"/>
    </row>
    <row r="270">
      <c r="C270" s="148"/>
    </row>
    <row r="271">
      <c r="C271" s="148"/>
    </row>
    <row r="272">
      <c r="C272" s="148"/>
    </row>
    <row r="273">
      <c r="C273" s="148"/>
    </row>
    <row r="274">
      <c r="C274" s="148"/>
    </row>
    <row r="275">
      <c r="C275" s="148"/>
    </row>
    <row r="276">
      <c r="C276" s="148"/>
    </row>
    <row r="277">
      <c r="C277" s="148"/>
    </row>
    <row r="278">
      <c r="C278" s="148"/>
    </row>
    <row r="279">
      <c r="C279" s="148"/>
    </row>
    <row r="280">
      <c r="C280" s="148"/>
    </row>
    <row r="281">
      <c r="C281" s="148"/>
    </row>
    <row r="282">
      <c r="C282" s="148"/>
    </row>
    <row r="283">
      <c r="C283" s="148"/>
    </row>
    <row r="284">
      <c r="C284" s="148"/>
    </row>
    <row r="285">
      <c r="C285" s="148"/>
    </row>
    <row r="286">
      <c r="C286" s="148"/>
    </row>
    <row r="287">
      <c r="C287" s="148"/>
    </row>
    <row r="288">
      <c r="C288" s="148"/>
    </row>
    <row r="289">
      <c r="C289" s="148"/>
    </row>
    <row r="290">
      <c r="C290" s="148"/>
    </row>
    <row r="291">
      <c r="C291" s="148"/>
    </row>
    <row r="292">
      <c r="C292" s="148"/>
    </row>
    <row r="293">
      <c r="C293" s="148"/>
    </row>
    <row r="294">
      <c r="C294" s="148"/>
    </row>
    <row r="295">
      <c r="C295" s="148"/>
    </row>
    <row r="296">
      <c r="C296" s="148"/>
    </row>
    <row r="297">
      <c r="C297" s="148"/>
    </row>
    <row r="298">
      <c r="C298" s="148"/>
    </row>
    <row r="299">
      <c r="C299" s="148"/>
    </row>
    <row r="300">
      <c r="C300" s="148"/>
    </row>
    <row r="301">
      <c r="C301" s="148"/>
    </row>
    <row r="302">
      <c r="C302" s="148"/>
    </row>
    <row r="303">
      <c r="C303" s="148"/>
    </row>
    <row r="304">
      <c r="C304" s="148"/>
    </row>
    <row r="305">
      <c r="C305" s="148"/>
    </row>
    <row r="306">
      <c r="C306" s="148"/>
    </row>
    <row r="307">
      <c r="C307" s="148"/>
    </row>
    <row r="308">
      <c r="C308" s="148"/>
    </row>
    <row r="309">
      <c r="C309" s="148"/>
    </row>
    <row r="310">
      <c r="C310" s="148"/>
    </row>
    <row r="311">
      <c r="C311" s="148"/>
    </row>
    <row r="312">
      <c r="C312" s="148"/>
    </row>
    <row r="313">
      <c r="C313" s="148"/>
    </row>
    <row r="314">
      <c r="C314" s="148"/>
    </row>
    <row r="315">
      <c r="C315" s="148"/>
    </row>
    <row r="316">
      <c r="C316" s="148"/>
    </row>
    <row r="317">
      <c r="C317" s="148"/>
    </row>
    <row r="318">
      <c r="C318" s="148"/>
    </row>
    <row r="319">
      <c r="C319" s="148"/>
    </row>
    <row r="320">
      <c r="C320" s="148"/>
    </row>
    <row r="321">
      <c r="C321" s="148"/>
    </row>
    <row r="322">
      <c r="C322" s="148"/>
    </row>
    <row r="323">
      <c r="C323" s="148"/>
    </row>
    <row r="324">
      <c r="C324" s="148"/>
    </row>
    <row r="325">
      <c r="C325" s="148"/>
    </row>
    <row r="326">
      <c r="C326" s="148"/>
    </row>
    <row r="327">
      <c r="C327" s="148"/>
    </row>
    <row r="328">
      <c r="C328" s="148"/>
    </row>
    <row r="329">
      <c r="C329" s="148"/>
    </row>
    <row r="330">
      <c r="C330" s="148"/>
    </row>
    <row r="331">
      <c r="C331" s="148"/>
    </row>
    <row r="332">
      <c r="C332" s="148"/>
    </row>
    <row r="333">
      <c r="C333" s="148"/>
    </row>
    <row r="334">
      <c r="C334" s="148"/>
    </row>
    <row r="335">
      <c r="C335" s="148"/>
    </row>
    <row r="336">
      <c r="C336" s="148"/>
    </row>
    <row r="337">
      <c r="C337" s="148"/>
    </row>
    <row r="338">
      <c r="C338" s="148"/>
    </row>
    <row r="339">
      <c r="C339" s="148"/>
    </row>
    <row r="340">
      <c r="C340" s="148"/>
    </row>
    <row r="341">
      <c r="C341" s="148"/>
    </row>
    <row r="342">
      <c r="C342" s="148"/>
    </row>
    <row r="343">
      <c r="C343" s="148"/>
    </row>
    <row r="344">
      <c r="C344" s="148"/>
    </row>
    <row r="345">
      <c r="C345" s="148"/>
    </row>
    <row r="346">
      <c r="C346" s="148"/>
    </row>
    <row r="347">
      <c r="C347" s="148"/>
    </row>
    <row r="348">
      <c r="C348" s="148"/>
    </row>
    <row r="349">
      <c r="C349" s="148"/>
    </row>
    <row r="350">
      <c r="C350" s="148"/>
    </row>
    <row r="351">
      <c r="C351" s="148"/>
    </row>
    <row r="352">
      <c r="C352" s="148"/>
    </row>
    <row r="353">
      <c r="C353" s="148"/>
    </row>
    <row r="354">
      <c r="C354" s="148"/>
    </row>
    <row r="355">
      <c r="C355" s="148"/>
    </row>
    <row r="356">
      <c r="C356" s="148"/>
    </row>
    <row r="357">
      <c r="C357" s="148"/>
    </row>
    <row r="358">
      <c r="C358" s="148"/>
    </row>
    <row r="359">
      <c r="C359" s="148"/>
    </row>
    <row r="360">
      <c r="C360" s="148"/>
    </row>
    <row r="361">
      <c r="C361" s="148"/>
    </row>
    <row r="362">
      <c r="C362" s="148"/>
    </row>
    <row r="363">
      <c r="C363" s="148"/>
    </row>
    <row r="364">
      <c r="C364" s="148"/>
    </row>
    <row r="365">
      <c r="C365" s="148"/>
    </row>
    <row r="366">
      <c r="C366" s="148"/>
    </row>
    <row r="367">
      <c r="C367" s="148"/>
    </row>
    <row r="368">
      <c r="C368" s="148"/>
    </row>
    <row r="369">
      <c r="C369" s="148"/>
    </row>
    <row r="370">
      <c r="C370" s="148"/>
    </row>
    <row r="371">
      <c r="C371" s="148"/>
    </row>
    <row r="372">
      <c r="C372" s="148"/>
    </row>
    <row r="373">
      <c r="C373" s="148"/>
    </row>
    <row r="374">
      <c r="C374" s="148"/>
    </row>
    <row r="375">
      <c r="C375" s="148"/>
    </row>
    <row r="376">
      <c r="C376" s="148"/>
    </row>
    <row r="377">
      <c r="C377" s="148"/>
    </row>
    <row r="378">
      <c r="C378" s="148"/>
    </row>
    <row r="379">
      <c r="C379" s="148"/>
    </row>
    <row r="380">
      <c r="C380" s="148"/>
    </row>
    <row r="381">
      <c r="C381" s="148"/>
    </row>
    <row r="382">
      <c r="C382" s="148"/>
    </row>
    <row r="383">
      <c r="C383" s="148"/>
    </row>
    <row r="384">
      <c r="C384" s="148"/>
    </row>
    <row r="385">
      <c r="C385" s="148"/>
    </row>
    <row r="386">
      <c r="C386" s="148"/>
    </row>
    <row r="387">
      <c r="C387" s="148"/>
    </row>
    <row r="388">
      <c r="C388" s="148"/>
    </row>
    <row r="389">
      <c r="C389" s="148"/>
    </row>
    <row r="390">
      <c r="C390" s="148"/>
    </row>
    <row r="391">
      <c r="C391" s="148"/>
    </row>
    <row r="392">
      <c r="C392" s="148"/>
    </row>
    <row r="393">
      <c r="C393" s="148"/>
    </row>
    <row r="394">
      <c r="C394" s="148"/>
    </row>
    <row r="395">
      <c r="C395" s="148"/>
    </row>
    <row r="396">
      <c r="C396" s="148"/>
    </row>
    <row r="397">
      <c r="C397" s="148"/>
    </row>
    <row r="398">
      <c r="C398" s="148"/>
    </row>
    <row r="399">
      <c r="C399" s="148"/>
    </row>
    <row r="400">
      <c r="C400" s="148"/>
    </row>
    <row r="401">
      <c r="C401" s="148"/>
    </row>
    <row r="402">
      <c r="C402" s="148"/>
    </row>
    <row r="403">
      <c r="C403" s="148"/>
    </row>
    <row r="404">
      <c r="C404" s="148"/>
    </row>
    <row r="405">
      <c r="C405" s="148"/>
    </row>
    <row r="406">
      <c r="C406" s="148"/>
    </row>
    <row r="407">
      <c r="C407" s="148"/>
    </row>
    <row r="408">
      <c r="C408" s="148"/>
    </row>
    <row r="409">
      <c r="C409" s="148"/>
    </row>
    <row r="410">
      <c r="C410" s="148"/>
    </row>
    <row r="411">
      <c r="C411" s="148"/>
    </row>
    <row r="412">
      <c r="C412" s="148"/>
    </row>
    <row r="413">
      <c r="C413" s="148"/>
    </row>
    <row r="414">
      <c r="C414" s="148"/>
    </row>
    <row r="415">
      <c r="C415" s="148"/>
    </row>
    <row r="416">
      <c r="C416" s="148"/>
    </row>
    <row r="417">
      <c r="C417" s="148"/>
    </row>
    <row r="418">
      <c r="C418" s="148"/>
    </row>
    <row r="419">
      <c r="C419" s="148"/>
    </row>
    <row r="420">
      <c r="C420" s="148"/>
    </row>
    <row r="421">
      <c r="C421" s="148"/>
    </row>
    <row r="422">
      <c r="C422" s="148"/>
    </row>
    <row r="423">
      <c r="C423" s="148"/>
    </row>
    <row r="424">
      <c r="C424" s="148"/>
    </row>
    <row r="425">
      <c r="C425" s="148"/>
    </row>
    <row r="426">
      <c r="C426" s="148"/>
    </row>
    <row r="427">
      <c r="C427" s="148"/>
    </row>
    <row r="428">
      <c r="C428" s="148"/>
    </row>
    <row r="429">
      <c r="C429" s="148"/>
    </row>
    <row r="430">
      <c r="C430" s="148"/>
    </row>
    <row r="431">
      <c r="C431" s="148"/>
    </row>
    <row r="432">
      <c r="C432" s="148"/>
    </row>
    <row r="433">
      <c r="C433" s="148"/>
    </row>
    <row r="434">
      <c r="C434" s="148"/>
    </row>
    <row r="435">
      <c r="C435" s="148"/>
    </row>
    <row r="436">
      <c r="C436" s="148"/>
    </row>
    <row r="437">
      <c r="C437" s="148"/>
    </row>
    <row r="438">
      <c r="C438" s="148"/>
    </row>
    <row r="439">
      <c r="C439" s="148"/>
    </row>
    <row r="440">
      <c r="C440" s="148"/>
    </row>
    <row r="441">
      <c r="C441" s="148"/>
    </row>
    <row r="442">
      <c r="C442" s="148"/>
    </row>
    <row r="443">
      <c r="C443" s="148"/>
    </row>
    <row r="444">
      <c r="C444" s="148"/>
    </row>
    <row r="445">
      <c r="C445" s="148"/>
    </row>
    <row r="446">
      <c r="C446" s="148"/>
    </row>
    <row r="447">
      <c r="C447" s="148"/>
    </row>
    <row r="448">
      <c r="C448" s="148"/>
    </row>
    <row r="449">
      <c r="C449" s="148"/>
    </row>
    <row r="450">
      <c r="C450" s="148"/>
    </row>
    <row r="451">
      <c r="C451" s="148"/>
    </row>
    <row r="452">
      <c r="C452" s="148"/>
    </row>
    <row r="453">
      <c r="C453" s="148"/>
    </row>
    <row r="454">
      <c r="C454" s="148"/>
    </row>
    <row r="455">
      <c r="C455" s="148"/>
    </row>
    <row r="456">
      <c r="C456" s="148"/>
    </row>
    <row r="457">
      <c r="C457" s="148"/>
    </row>
    <row r="458">
      <c r="C458" s="148"/>
    </row>
    <row r="459">
      <c r="C459" s="148"/>
    </row>
    <row r="460">
      <c r="C460" s="148"/>
    </row>
    <row r="461">
      <c r="C461" s="148"/>
    </row>
    <row r="462">
      <c r="C462" s="148"/>
    </row>
    <row r="463">
      <c r="C463" s="148"/>
    </row>
    <row r="464">
      <c r="C464" s="148"/>
    </row>
    <row r="465">
      <c r="C465" s="148"/>
    </row>
    <row r="466">
      <c r="C466" s="148"/>
    </row>
    <row r="467">
      <c r="C467" s="148"/>
    </row>
    <row r="468">
      <c r="C468" s="148"/>
    </row>
    <row r="469">
      <c r="C469" s="148"/>
    </row>
    <row r="470">
      <c r="C470" s="148"/>
    </row>
    <row r="471">
      <c r="C471" s="148"/>
    </row>
    <row r="472">
      <c r="C472" s="148"/>
    </row>
    <row r="473">
      <c r="C473" s="148"/>
    </row>
    <row r="474">
      <c r="C474" s="148"/>
    </row>
    <row r="475">
      <c r="C475" s="148"/>
    </row>
    <row r="476">
      <c r="C476" s="148"/>
    </row>
    <row r="477">
      <c r="C477" s="148"/>
    </row>
    <row r="478">
      <c r="C478" s="148"/>
    </row>
    <row r="479">
      <c r="C479" s="148"/>
    </row>
    <row r="480">
      <c r="C480" s="148"/>
    </row>
    <row r="481">
      <c r="C481" s="148"/>
    </row>
    <row r="482">
      <c r="C482" s="148"/>
    </row>
    <row r="483">
      <c r="C483" s="148"/>
    </row>
    <row r="484">
      <c r="C484" s="148"/>
    </row>
    <row r="485">
      <c r="C485" s="148"/>
    </row>
    <row r="486">
      <c r="C486" s="148"/>
    </row>
    <row r="487">
      <c r="C487" s="148"/>
    </row>
    <row r="488">
      <c r="C488" s="148"/>
    </row>
    <row r="489">
      <c r="C489" s="148"/>
    </row>
    <row r="490">
      <c r="C490" s="148"/>
    </row>
    <row r="491">
      <c r="C491" s="148"/>
    </row>
    <row r="492">
      <c r="C492" s="148"/>
    </row>
    <row r="493">
      <c r="C493" s="148"/>
    </row>
    <row r="494">
      <c r="C494" s="148"/>
    </row>
    <row r="495">
      <c r="C495" s="148"/>
    </row>
    <row r="496">
      <c r="C496" s="148"/>
    </row>
    <row r="497">
      <c r="C497" s="148"/>
    </row>
    <row r="498">
      <c r="C498" s="148"/>
    </row>
    <row r="499">
      <c r="C499" s="148"/>
    </row>
    <row r="500">
      <c r="C500" s="148"/>
    </row>
    <row r="501">
      <c r="C501" s="148"/>
    </row>
    <row r="502">
      <c r="C502" s="148"/>
    </row>
    <row r="503">
      <c r="C503" s="148"/>
    </row>
    <row r="504">
      <c r="C504" s="148"/>
    </row>
    <row r="505">
      <c r="C505" s="148"/>
    </row>
    <row r="506">
      <c r="C506" s="148"/>
    </row>
    <row r="507">
      <c r="C507" s="148"/>
    </row>
    <row r="508">
      <c r="C508" s="148"/>
    </row>
    <row r="509">
      <c r="C509" s="148"/>
    </row>
    <row r="510">
      <c r="C510" s="148"/>
    </row>
    <row r="511">
      <c r="C511" s="148"/>
    </row>
    <row r="512">
      <c r="C512" s="148"/>
    </row>
    <row r="513">
      <c r="C513" s="148"/>
    </row>
    <row r="514">
      <c r="C514" s="148"/>
    </row>
    <row r="515">
      <c r="C515" s="148"/>
    </row>
    <row r="516">
      <c r="C516" s="148"/>
    </row>
    <row r="517">
      <c r="C517" s="148"/>
    </row>
    <row r="518">
      <c r="C518" s="148"/>
    </row>
    <row r="519">
      <c r="C519" s="148"/>
    </row>
    <row r="520">
      <c r="C520" s="148"/>
    </row>
    <row r="521">
      <c r="C521" s="148"/>
    </row>
    <row r="522">
      <c r="C522" s="148"/>
    </row>
    <row r="523">
      <c r="C523" s="148"/>
    </row>
    <row r="524">
      <c r="C524" s="148"/>
    </row>
    <row r="525">
      <c r="C525" s="148"/>
    </row>
    <row r="526">
      <c r="C526" s="148"/>
    </row>
    <row r="527">
      <c r="C527" s="148"/>
    </row>
    <row r="528">
      <c r="C528" s="148"/>
    </row>
    <row r="529">
      <c r="C529" s="148"/>
    </row>
    <row r="530">
      <c r="C530" s="148"/>
    </row>
    <row r="531">
      <c r="C531" s="148"/>
    </row>
    <row r="532">
      <c r="C532" s="148"/>
    </row>
    <row r="533">
      <c r="C533" s="148"/>
    </row>
    <row r="534">
      <c r="C534" s="148"/>
    </row>
    <row r="535">
      <c r="C535" s="148"/>
    </row>
    <row r="536">
      <c r="C536" s="148"/>
    </row>
    <row r="537">
      <c r="C537" s="148"/>
    </row>
    <row r="538">
      <c r="C538" s="148"/>
    </row>
    <row r="539">
      <c r="C539" s="148"/>
    </row>
    <row r="540">
      <c r="C540" s="148"/>
    </row>
    <row r="541">
      <c r="C541" s="148"/>
    </row>
    <row r="542">
      <c r="C542" s="148"/>
    </row>
    <row r="543">
      <c r="C543" s="148"/>
    </row>
    <row r="544">
      <c r="C544" s="148"/>
    </row>
    <row r="545">
      <c r="C545" s="148"/>
    </row>
    <row r="546">
      <c r="C546" s="148"/>
    </row>
    <row r="547">
      <c r="C547" s="148"/>
    </row>
    <row r="548">
      <c r="C548" s="148"/>
    </row>
    <row r="549">
      <c r="C549" s="148"/>
    </row>
    <row r="550">
      <c r="C550" s="148"/>
    </row>
    <row r="551">
      <c r="C551" s="148"/>
    </row>
    <row r="552">
      <c r="C552" s="148"/>
    </row>
    <row r="553">
      <c r="C553" s="148"/>
    </row>
    <row r="554">
      <c r="C554" s="148"/>
    </row>
    <row r="555">
      <c r="C555" s="148"/>
    </row>
    <row r="556">
      <c r="C556" s="148"/>
    </row>
    <row r="557">
      <c r="C557" s="148"/>
    </row>
    <row r="558">
      <c r="C558" s="148"/>
    </row>
    <row r="559">
      <c r="C559" s="148"/>
    </row>
    <row r="560">
      <c r="C560" s="148"/>
    </row>
    <row r="561">
      <c r="C561" s="148"/>
    </row>
    <row r="562">
      <c r="C562" s="148"/>
    </row>
    <row r="563">
      <c r="C563" s="148"/>
    </row>
    <row r="564">
      <c r="C564" s="148"/>
    </row>
    <row r="565">
      <c r="C565" s="148"/>
    </row>
    <row r="566">
      <c r="C566" s="148"/>
    </row>
    <row r="567">
      <c r="C567" s="148"/>
    </row>
    <row r="568">
      <c r="C568" s="148"/>
    </row>
    <row r="569">
      <c r="C569" s="148"/>
    </row>
    <row r="570">
      <c r="C570" s="148"/>
    </row>
    <row r="571">
      <c r="C571" s="148"/>
    </row>
    <row r="572">
      <c r="C572" s="148"/>
    </row>
    <row r="573">
      <c r="C573" s="148"/>
    </row>
    <row r="574">
      <c r="C574" s="148"/>
    </row>
    <row r="575">
      <c r="C575" s="148"/>
    </row>
    <row r="576">
      <c r="C576" s="148"/>
    </row>
    <row r="577">
      <c r="C577" s="148"/>
    </row>
    <row r="578">
      <c r="C578" s="148"/>
    </row>
    <row r="579">
      <c r="C579" s="148"/>
    </row>
    <row r="580">
      <c r="C580" s="148"/>
    </row>
    <row r="581">
      <c r="C581" s="148"/>
    </row>
    <row r="582">
      <c r="C582" s="148"/>
    </row>
    <row r="583">
      <c r="C583" s="148"/>
    </row>
    <row r="584">
      <c r="C584" s="148"/>
    </row>
    <row r="585">
      <c r="C585" s="148"/>
    </row>
    <row r="586">
      <c r="C586" s="148"/>
    </row>
    <row r="587">
      <c r="C587" s="148"/>
    </row>
    <row r="588">
      <c r="C588" s="148"/>
    </row>
    <row r="589">
      <c r="C589" s="148"/>
    </row>
    <row r="590">
      <c r="C590" s="148"/>
    </row>
    <row r="591">
      <c r="C591" s="148"/>
    </row>
    <row r="592">
      <c r="C592" s="148"/>
    </row>
    <row r="593">
      <c r="C593" s="148"/>
    </row>
    <row r="594">
      <c r="C594" s="148"/>
    </row>
    <row r="595">
      <c r="C595" s="148"/>
    </row>
    <row r="596">
      <c r="C596" s="148"/>
    </row>
    <row r="597">
      <c r="C597" s="148"/>
    </row>
    <row r="598">
      <c r="C598" s="148"/>
    </row>
    <row r="599">
      <c r="C599" s="148"/>
    </row>
    <row r="600">
      <c r="C600" s="148"/>
    </row>
    <row r="601">
      <c r="C601" s="148"/>
    </row>
    <row r="602">
      <c r="C602" s="148"/>
    </row>
    <row r="603">
      <c r="C603" s="148"/>
    </row>
    <row r="604">
      <c r="C604" s="148"/>
    </row>
    <row r="605">
      <c r="C605" s="148"/>
    </row>
    <row r="606">
      <c r="C606" s="148"/>
    </row>
    <row r="607">
      <c r="C607" s="148"/>
    </row>
    <row r="608">
      <c r="C608" s="148"/>
    </row>
    <row r="609">
      <c r="C609" s="148"/>
    </row>
    <row r="610">
      <c r="C610" s="148"/>
    </row>
    <row r="611">
      <c r="C611" s="148"/>
    </row>
    <row r="612">
      <c r="C612" s="148"/>
    </row>
    <row r="613">
      <c r="C613" s="148"/>
    </row>
    <row r="614">
      <c r="C614" s="148"/>
    </row>
    <row r="615">
      <c r="C615" s="148"/>
    </row>
    <row r="616">
      <c r="C616" s="148"/>
    </row>
    <row r="617">
      <c r="C617" s="148"/>
    </row>
    <row r="618">
      <c r="C618" s="148"/>
    </row>
    <row r="619">
      <c r="C619" s="148"/>
    </row>
    <row r="620">
      <c r="C620" s="148"/>
    </row>
    <row r="621">
      <c r="C621" s="148"/>
    </row>
    <row r="622">
      <c r="C622" s="148"/>
    </row>
    <row r="623">
      <c r="C623" s="148"/>
    </row>
    <row r="624">
      <c r="C624" s="148"/>
    </row>
    <row r="625">
      <c r="C625" s="148"/>
    </row>
    <row r="626">
      <c r="C626" s="148"/>
    </row>
    <row r="627">
      <c r="C627" s="148"/>
    </row>
    <row r="628">
      <c r="C628" s="148"/>
    </row>
    <row r="629">
      <c r="C629" s="148"/>
    </row>
    <row r="630">
      <c r="C630" s="148"/>
    </row>
    <row r="631">
      <c r="C631" s="148"/>
    </row>
    <row r="632">
      <c r="C632" s="148"/>
    </row>
    <row r="633">
      <c r="C633" s="148"/>
    </row>
    <row r="634">
      <c r="C634" s="148"/>
    </row>
    <row r="635">
      <c r="C635" s="148"/>
    </row>
    <row r="636">
      <c r="C636" s="148"/>
    </row>
    <row r="637">
      <c r="C637" s="148"/>
    </row>
    <row r="638">
      <c r="C638" s="148"/>
    </row>
    <row r="639">
      <c r="C639" s="148"/>
    </row>
    <row r="640">
      <c r="C640" s="148"/>
    </row>
    <row r="641">
      <c r="C641" s="148"/>
    </row>
    <row r="642">
      <c r="C642" s="148"/>
    </row>
    <row r="643">
      <c r="C643" s="148"/>
    </row>
    <row r="644">
      <c r="C644" s="148"/>
    </row>
    <row r="645">
      <c r="C645" s="148"/>
    </row>
    <row r="646">
      <c r="C646" s="148"/>
    </row>
    <row r="647">
      <c r="C647" s="148"/>
    </row>
    <row r="648">
      <c r="C648" s="148"/>
    </row>
    <row r="649">
      <c r="C649" s="148"/>
    </row>
    <row r="650">
      <c r="C650" s="148"/>
    </row>
    <row r="651">
      <c r="C651" s="148"/>
    </row>
    <row r="652">
      <c r="C652" s="148"/>
    </row>
    <row r="653">
      <c r="C653" s="148"/>
    </row>
    <row r="654">
      <c r="C654" s="148"/>
    </row>
    <row r="655">
      <c r="C655" s="148"/>
    </row>
    <row r="656">
      <c r="C656" s="148"/>
    </row>
    <row r="657">
      <c r="C657" s="148"/>
    </row>
    <row r="658">
      <c r="C658" s="148"/>
    </row>
    <row r="659">
      <c r="C659" s="148"/>
    </row>
    <row r="660">
      <c r="C660" s="148"/>
    </row>
    <row r="661">
      <c r="C661" s="148"/>
    </row>
    <row r="662">
      <c r="C662" s="148"/>
    </row>
    <row r="663">
      <c r="C663" s="148"/>
    </row>
    <row r="664">
      <c r="C664" s="148"/>
    </row>
    <row r="665">
      <c r="C665" s="148"/>
    </row>
    <row r="666">
      <c r="C666" s="148"/>
    </row>
    <row r="667">
      <c r="C667" s="148"/>
    </row>
    <row r="668">
      <c r="C668" s="148"/>
    </row>
    <row r="669">
      <c r="C669" s="148"/>
    </row>
    <row r="670">
      <c r="C670" s="148"/>
    </row>
    <row r="671">
      <c r="C671" s="148"/>
    </row>
    <row r="672">
      <c r="C672" s="148"/>
    </row>
    <row r="673">
      <c r="C673" s="148"/>
    </row>
    <row r="674">
      <c r="C674" s="148"/>
    </row>
    <row r="675">
      <c r="C675" s="148"/>
    </row>
    <row r="676">
      <c r="C676" s="148"/>
    </row>
    <row r="677">
      <c r="C677" s="148"/>
    </row>
    <row r="678">
      <c r="C678" s="148"/>
    </row>
    <row r="679">
      <c r="C679" s="148"/>
    </row>
    <row r="680">
      <c r="C680" s="148"/>
    </row>
    <row r="681">
      <c r="C681" s="148"/>
    </row>
    <row r="682">
      <c r="C682" s="148"/>
    </row>
    <row r="683">
      <c r="C683" s="148"/>
    </row>
    <row r="684">
      <c r="C684" s="148"/>
    </row>
    <row r="685">
      <c r="C685" s="148"/>
    </row>
    <row r="686">
      <c r="C686" s="148"/>
    </row>
    <row r="687">
      <c r="C687" s="148"/>
    </row>
    <row r="688">
      <c r="C688" s="148"/>
    </row>
    <row r="689">
      <c r="C689" s="148"/>
    </row>
    <row r="690">
      <c r="C690" s="148"/>
    </row>
    <row r="691">
      <c r="C691" s="148"/>
    </row>
    <row r="692">
      <c r="C692" s="148"/>
    </row>
    <row r="693">
      <c r="C693" s="148"/>
    </row>
    <row r="694">
      <c r="C694" s="148"/>
    </row>
    <row r="695">
      <c r="C695" s="148"/>
    </row>
    <row r="696">
      <c r="C696" s="148"/>
    </row>
    <row r="697">
      <c r="C697" s="148"/>
    </row>
    <row r="698">
      <c r="C698" s="148"/>
    </row>
    <row r="699">
      <c r="C699" s="148"/>
    </row>
    <row r="700">
      <c r="C700" s="148"/>
    </row>
    <row r="701">
      <c r="C701" s="148"/>
    </row>
    <row r="702">
      <c r="C702" s="148"/>
    </row>
    <row r="703">
      <c r="C703" s="148"/>
    </row>
    <row r="704">
      <c r="C704" s="148"/>
    </row>
    <row r="705">
      <c r="C705" s="148"/>
    </row>
    <row r="706">
      <c r="C706" s="148"/>
    </row>
    <row r="707">
      <c r="C707" s="148"/>
    </row>
    <row r="708">
      <c r="C708" s="148"/>
    </row>
    <row r="709">
      <c r="C709" s="148"/>
    </row>
    <row r="710">
      <c r="C710" s="148"/>
    </row>
    <row r="711">
      <c r="C711" s="148"/>
    </row>
    <row r="712">
      <c r="C712" s="148"/>
    </row>
    <row r="713">
      <c r="C713" s="148"/>
    </row>
    <row r="714">
      <c r="C714" s="148"/>
    </row>
    <row r="715">
      <c r="C715" s="148"/>
    </row>
    <row r="716">
      <c r="C716" s="148"/>
    </row>
    <row r="717">
      <c r="C717" s="148"/>
    </row>
    <row r="718">
      <c r="C718" s="148"/>
    </row>
    <row r="719">
      <c r="C719" s="148"/>
    </row>
    <row r="720">
      <c r="C720" s="148"/>
    </row>
    <row r="721">
      <c r="C721" s="148"/>
    </row>
    <row r="722">
      <c r="C722" s="148"/>
    </row>
    <row r="723">
      <c r="C723" s="148"/>
    </row>
    <row r="724">
      <c r="C724" s="148"/>
    </row>
    <row r="725">
      <c r="C725" s="148"/>
    </row>
    <row r="726">
      <c r="C726" s="148"/>
    </row>
    <row r="727">
      <c r="C727" s="148"/>
    </row>
    <row r="728">
      <c r="C728" s="148"/>
    </row>
    <row r="729">
      <c r="C729" s="148"/>
    </row>
    <row r="730">
      <c r="C730" s="148"/>
    </row>
    <row r="731">
      <c r="C731" s="148"/>
    </row>
    <row r="732">
      <c r="C732" s="148"/>
    </row>
    <row r="733">
      <c r="C733" s="148"/>
    </row>
    <row r="734">
      <c r="C734" s="148"/>
    </row>
    <row r="735">
      <c r="C735" s="148"/>
    </row>
    <row r="736">
      <c r="C736" s="148"/>
    </row>
    <row r="737">
      <c r="C737" s="148"/>
    </row>
    <row r="738">
      <c r="C738" s="148"/>
    </row>
    <row r="739">
      <c r="C739" s="148"/>
    </row>
    <row r="740">
      <c r="C740" s="148"/>
    </row>
    <row r="741">
      <c r="C741" s="148"/>
    </row>
    <row r="742">
      <c r="C742" s="148"/>
    </row>
    <row r="743">
      <c r="C743" s="148"/>
    </row>
    <row r="744">
      <c r="C744" s="148"/>
    </row>
    <row r="745">
      <c r="C745" s="148"/>
    </row>
    <row r="746">
      <c r="C746" s="148"/>
    </row>
    <row r="747">
      <c r="C747" s="148"/>
    </row>
    <row r="748">
      <c r="C748" s="148"/>
    </row>
    <row r="749">
      <c r="C749" s="148"/>
    </row>
    <row r="750">
      <c r="C750" s="148"/>
    </row>
    <row r="751">
      <c r="C751" s="148"/>
    </row>
    <row r="752">
      <c r="C752" s="148"/>
    </row>
    <row r="753">
      <c r="C753" s="148"/>
    </row>
    <row r="754">
      <c r="C754" s="148"/>
    </row>
    <row r="755">
      <c r="C755" s="148"/>
    </row>
    <row r="756">
      <c r="C756" s="148"/>
    </row>
    <row r="757">
      <c r="C757" s="148"/>
    </row>
    <row r="758">
      <c r="C758" s="148"/>
    </row>
    <row r="759">
      <c r="C759" s="148"/>
    </row>
    <row r="760">
      <c r="C760" s="148"/>
    </row>
    <row r="761">
      <c r="C761" s="148"/>
    </row>
    <row r="762">
      <c r="C762" s="148"/>
    </row>
    <row r="763">
      <c r="C763" s="148"/>
    </row>
    <row r="764">
      <c r="C764" s="148"/>
    </row>
    <row r="765">
      <c r="C765" s="148"/>
    </row>
    <row r="766">
      <c r="C766" s="148"/>
    </row>
    <row r="767">
      <c r="C767" s="148"/>
    </row>
    <row r="768">
      <c r="C768" s="148"/>
    </row>
    <row r="769">
      <c r="C769" s="148"/>
    </row>
    <row r="770">
      <c r="C770" s="148"/>
    </row>
    <row r="771">
      <c r="C771" s="148"/>
    </row>
    <row r="772">
      <c r="C772" s="148"/>
    </row>
    <row r="773">
      <c r="C773" s="148"/>
    </row>
    <row r="774">
      <c r="C774" s="148"/>
    </row>
    <row r="775">
      <c r="C775" s="148"/>
    </row>
    <row r="776">
      <c r="C776" s="148"/>
    </row>
    <row r="777">
      <c r="C777" s="148"/>
    </row>
    <row r="778">
      <c r="C778" s="148"/>
    </row>
    <row r="779">
      <c r="C779" s="148"/>
    </row>
    <row r="780">
      <c r="C780" s="148"/>
    </row>
    <row r="781">
      <c r="C781" s="148"/>
    </row>
    <row r="782">
      <c r="C782" s="148"/>
    </row>
    <row r="783">
      <c r="C783" s="148"/>
    </row>
    <row r="784">
      <c r="C784" s="148"/>
    </row>
    <row r="785">
      <c r="C785" s="148"/>
    </row>
    <row r="786">
      <c r="C786" s="148"/>
    </row>
    <row r="787">
      <c r="C787" s="148"/>
    </row>
    <row r="788">
      <c r="C788" s="148"/>
    </row>
    <row r="789">
      <c r="C789" s="148"/>
    </row>
    <row r="790">
      <c r="C790" s="148"/>
    </row>
    <row r="791">
      <c r="C791" s="148"/>
    </row>
    <row r="792">
      <c r="C792" s="148"/>
    </row>
    <row r="793">
      <c r="C793" s="148"/>
    </row>
    <row r="794">
      <c r="C794" s="148"/>
    </row>
    <row r="795">
      <c r="C795" s="148"/>
    </row>
    <row r="796">
      <c r="C796" s="148"/>
    </row>
    <row r="797">
      <c r="C797" s="148"/>
    </row>
    <row r="798">
      <c r="C798" s="148"/>
    </row>
    <row r="799">
      <c r="C799" s="148"/>
    </row>
    <row r="800">
      <c r="C800" s="148"/>
    </row>
    <row r="801">
      <c r="C801" s="148"/>
    </row>
    <row r="802">
      <c r="C802" s="148"/>
    </row>
    <row r="803">
      <c r="C803" s="148"/>
    </row>
    <row r="804">
      <c r="C804" s="148"/>
    </row>
    <row r="805">
      <c r="C805" s="148"/>
    </row>
    <row r="806">
      <c r="C806" s="148"/>
    </row>
    <row r="807">
      <c r="C807" s="148"/>
    </row>
    <row r="808">
      <c r="C808" s="148"/>
    </row>
    <row r="809">
      <c r="C809" s="148"/>
    </row>
    <row r="810">
      <c r="C810" s="148"/>
    </row>
    <row r="811">
      <c r="C811" s="148"/>
    </row>
    <row r="812">
      <c r="C812" s="148"/>
    </row>
    <row r="813">
      <c r="C813" s="148"/>
    </row>
    <row r="814">
      <c r="C814" s="148"/>
    </row>
    <row r="815">
      <c r="C815" s="148"/>
    </row>
    <row r="816">
      <c r="C816" s="148"/>
    </row>
    <row r="817">
      <c r="C817" s="148"/>
    </row>
    <row r="818">
      <c r="C818" s="148"/>
    </row>
    <row r="819">
      <c r="C819" s="148"/>
    </row>
    <row r="820">
      <c r="C820" s="148"/>
    </row>
    <row r="821">
      <c r="C821" s="148"/>
    </row>
    <row r="822">
      <c r="C822" s="148"/>
    </row>
    <row r="823">
      <c r="C823" s="148"/>
    </row>
    <row r="824">
      <c r="C824" s="148"/>
    </row>
    <row r="825">
      <c r="C825" s="148"/>
    </row>
    <row r="826">
      <c r="C826" s="148"/>
    </row>
    <row r="827">
      <c r="C827" s="148"/>
    </row>
    <row r="828">
      <c r="C828" s="148"/>
    </row>
    <row r="829">
      <c r="C829" s="148"/>
    </row>
    <row r="830">
      <c r="C830" s="148"/>
    </row>
    <row r="831">
      <c r="C831" s="148"/>
    </row>
    <row r="832">
      <c r="C832" s="148"/>
    </row>
    <row r="833">
      <c r="C833" s="148"/>
    </row>
    <row r="834">
      <c r="C834" s="148"/>
    </row>
    <row r="835">
      <c r="C835" s="148"/>
    </row>
    <row r="836">
      <c r="C836" s="148"/>
    </row>
    <row r="837">
      <c r="C837" s="148"/>
    </row>
    <row r="838">
      <c r="C838" s="148"/>
    </row>
    <row r="839">
      <c r="C839" s="148"/>
    </row>
    <row r="840">
      <c r="C840" s="148"/>
    </row>
    <row r="841">
      <c r="C841" s="148"/>
    </row>
    <row r="842">
      <c r="C842" s="148"/>
    </row>
    <row r="843">
      <c r="C843" s="148"/>
    </row>
    <row r="844">
      <c r="C844" s="148"/>
    </row>
    <row r="845">
      <c r="C845" s="148"/>
    </row>
    <row r="846">
      <c r="C846" s="148"/>
    </row>
    <row r="847">
      <c r="C847" s="148"/>
    </row>
    <row r="848">
      <c r="C848" s="148"/>
    </row>
    <row r="849">
      <c r="C849" s="148"/>
    </row>
    <row r="850">
      <c r="C850" s="148"/>
    </row>
    <row r="851">
      <c r="C851" s="148"/>
    </row>
    <row r="852">
      <c r="C852" s="148"/>
    </row>
    <row r="853">
      <c r="C853" s="148"/>
    </row>
    <row r="854">
      <c r="C854" s="148"/>
    </row>
    <row r="855">
      <c r="C855" s="148"/>
    </row>
    <row r="856">
      <c r="C856" s="148"/>
    </row>
    <row r="857">
      <c r="C857" s="148"/>
    </row>
    <row r="858">
      <c r="C858" s="148"/>
    </row>
    <row r="859">
      <c r="C859" s="148"/>
    </row>
    <row r="860">
      <c r="C860" s="148"/>
    </row>
    <row r="861">
      <c r="C861" s="148"/>
    </row>
    <row r="862">
      <c r="C862" s="148"/>
    </row>
    <row r="863">
      <c r="C863" s="148"/>
    </row>
    <row r="864">
      <c r="C864" s="148"/>
    </row>
    <row r="865">
      <c r="C865" s="148"/>
    </row>
    <row r="866">
      <c r="C866" s="148"/>
    </row>
    <row r="867">
      <c r="C867" s="148"/>
    </row>
    <row r="868">
      <c r="C868" s="148"/>
    </row>
    <row r="869">
      <c r="C869" s="148"/>
    </row>
    <row r="870">
      <c r="C870" s="148"/>
    </row>
    <row r="871">
      <c r="C871" s="148"/>
    </row>
    <row r="872">
      <c r="C872" s="148"/>
    </row>
    <row r="873">
      <c r="C873" s="148"/>
    </row>
    <row r="874">
      <c r="C874" s="148"/>
    </row>
    <row r="875">
      <c r="C875" s="148"/>
    </row>
    <row r="876">
      <c r="C876" s="148"/>
    </row>
    <row r="877">
      <c r="C877" s="148"/>
    </row>
    <row r="878">
      <c r="C878" s="148"/>
    </row>
    <row r="879">
      <c r="C879" s="148"/>
    </row>
    <row r="880">
      <c r="C880" s="148"/>
    </row>
    <row r="881">
      <c r="C881" s="148"/>
    </row>
    <row r="882">
      <c r="C882" s="148"/>
    </row>
    <row r="883">
      <c r="C883" s="148"/>
    </row>
    <row r="884">
      <c r="C884" s="148"/>
    </row>
    <row r="885">
      <c r="C885" s="148"/>
    </row>
    <row r="886">
      <c r="C886" s="148"/>
    </row>
    <row r="887">
      <c r="C887" s="148"/>
    </row>
    <row r="888">
      <c r="C888" s="148"/>
    </row>
    <row r="889">
      <c r="C889" s="148"/>
    </row>
    <row r="890">
      <c r="C890" s="148"/>
    </row>
    <row r="891">
      <c r="C891" s="148"/>
    </row>
    <row r="892">
      <c r="C892" s="148"/>
    </row>
    <row r="893">
      <c r="C893" s="148"/>
    </row>
    <row r="894">
      <c r="C894" s="148"/>
    </row>
    <row r="895">
      <c r="C895" s="148"/>
    </row>
    <row r="896">
      <c r="C896" s="148"/>
    </row>
    <row r="897">
      <c r="C897" s="148"/>
    </row>
    <row r="898">
      <c r="C898" s="148"/>
    </row>
    <row r="899">
      <c r="C899" s="148"/>
    </row>
    <row r="900">
      <c r="C900" s="148"/>
    </row>
    <row r="901">
      <c r="C901" s="148"/>
    </row>
    <row r="902">
      <c r="C902" s="148"/>
    </row>
    <row r="903">
      <c r="C903" s="148"/>
    </row>
    <row r="904">
      <c r="C904" s="148"/>
    </row>
    <row r="905">
      <c r="C905" s="148"/>
    </row>
    <row r="906">
      <c r="C906" s="148"/>
    </row>
    <row r="907">
      <c r="C907" s="148"/>
    </row>
    <row r="908">
      <c r="C908" s="148"/>
    </row>
    <row r="909">
      <c r="C909" s="148"/>
    </row>
    <row r="910">
      <c r="C910" s="148"/>
    </row>
    <row r="911">
      <c r="C911" s="148"/>
    </row>
    <row r="912">
      <c r="C912" s="148"/>
    </row>
    <row r="913">
      <c r="C913" s="148"/>
    </row>
    <row r="914">
      <c r="C914" s="148"/>
    </row>
    <row r="915">
      <c r="C915" s="148"/>
    </row>
    <row r="916">
      <c r="C916" s="148"/>
    </row>
    <row r="917">
      <c r="C917" s="148"/>
    </row>
    <row r="918">
      <c r="C918" s="148"/>
    </row>
    <row r="919">
      <c r="C919" s="148"/>
    </row>
    <row r="920">
      <c r="C920" s="148"/>
    </row>
    <row r="921">
      <c r="C921" s="148"/>
    </row>
    <row r="922">
      <c r="C922" s="148"/>
    </row>
    <row r="923">
      <c r="C923" s="148"/>
    </row>
    <row r="924">
      <c r="C924" s="148"/>
    </row>
    <row r="925">
      <c r="C925" s="148"/>
    </row>
    <row r="926">
      <c r="C926" s="148"/>
    </row>
    <row r="927">
      <c r="C927" s="148"/>
    </row>
    <row r="928">
      <c r="C928" s="148"/>
    </row>
    <row r="929">
      <c r="C929" s="148"/>
    </row>
    <row r="930">
      <c r="C930" s="148"/>
    </row>
    <row r="931">
      <c r="C931" s="148"/>
    </row>
    <row r="932">
      <c r="C932" s="148"/>
    </row>
    <row r="933">
      <c r="C933" s="148"/>
    </row>
    <row r="934">
      <c r="C934" s="148"/>
    </row>
    <row r="935">
      <c r="C935" s="148"/>
    </row>
    <row r="936">
      <c r="C936" s="148"/>
    </row>
    <row r="937">
      <c r="C937" s="148"/>
    </row>
    <row r="938">
      <c r="C938" s="148"/>
    </row>
    <row r="939">
      <c r="C939" s="148"/>
    </row>
    <row r="940">
      <c r="C940" s="148"/>
    </row>
    <row r="941">
      <c r="C941" s="148"/>
    </row>
    <row r="942">
      <c r="C942" s="148"/>
    </row>
    <row r="943">
      <c r="C943" s="148"/>
    </row>
    <row r="944">
      <c r="C944" s="148"/>
    </row>
    <row r="945">
      <c r="C945" s="148"/>
    </row>
    <row r="946">
      <c r="C946" s="148"/>
    </row>
    <row r="947">
      <c r="C947" s="148"/>
    </row>
    <row r="948">
      <c r="C948" s="148"/>
    </row>
    <row r="949">
      <c r="C949" s="148"/>
    </row>
    <row r="950">
      <c r="C950" s="148"/>
    </row>
    <row r="951">
      <c r="C951" s="148"/>
    </row>
    <row r="952">
      <c r="C952" s="148"/>
    </row>
    <row r="953">
      <c r="C953" s="148"/>
    </row>
    <row r="954">
      <c r="C954" s="148"/>
    </row>
    <row r="955">
      <c r="C955" s="148"/>
    </row>
    <row r="956">
      <c r="C956" s="148"/>
    </row>
    <row r="957">
      <c r="C957" s="148"/>
    </row>
    <row r="958">
      <c r="C958" s="148"/>
    </row>
    <row r="959">
      <c r="C959" s="148"/>
    </row>
    <row r="960">
      <c r="C960" s="148"/>
    </row>
    <row r="961">
      <c r="C961" s="148"/>
    </row>
    <row r="962">
      <c r="C962" s="148"/>
    </row>
    <row r="963">
      <c r="C963" s="148"/>
    </row>
    <row r="964">
      <c r="C964" s="148"/>
    </row>
    <row r="965">
      <c r="C965" s="148"/>
    </row>
    <row r="966">
      <c r="C966" s="148"/>
    </row>
    <row r="967">
      <c r="C967" s="148"/>
    </row>
    <row r="968">
      <c r="C968" s="148"/>
    </row>
    <row r="969">
      <c r="C969" s="148"/>
    </row>
    <row r="970">
      <c r="C970" s="148"/>
    </row>
    <row r="971">
      <c r="C971" s="148"/>
    </row>
    <row r="972">
      <c r="C972" s="148"/>
    </row>
    <row r="973">
      <c r="C973" s="148"/>
    </row>
    <row r="974">
      <c r="C974" s="148"/>
    </row>
    <row r="975">
      <c r="C975" s="148"/>
    </row>
    <row r="976">
      <c r="C976" s="148"/>
    </row>
    <row r="977">
      <c r="C977" s="148"/>
    </row>
    <row r="978">
      <c r="C978" s="148"/>
    </row>
    <row r="979">
      <c r="C979" s="148"/>
    </row>
    <row r="980">
      <c r="C980" s="148"/>
    </row>
    <row r="981">
      <c r="C981" s="148"/>
    </row>
    <row r="982">
      <c r="C982" s="148"/>
    </row>
    <row r="983">
      <c r="C983" s="148"/>
    </row>
    <row r="984">
      <c r="C984" s="148"/>
    </row>
    <row r="985">
      <c r="C985" s="148"/>
    </row>
    <row r="986">
      <c r="C986" s="148"/>
    </row>
    <row r="987">
      <c r="C987" s="148"/>
    </row>
    <row r="988">
      <c r="C988" s="148"/>
    </row>
    <row r="989">
      <c r="C989" s="148"/>
    </row>
    <row r="990">
      <c r="C990" s="148"/>
    </row>
    <row r="991">
      <c r="C991" s="148"/>
    </row>
    <row r="992">
      <c r="C992" s="148"/>
    </row>
    <row r="993">
      <c r="C993" s="148"/>
    </row>
    <row r="994">
      <c r="C994" s="148"/>
    </row>
    <row r="995">
      <c r="C995" s="148"/>
    </row>
    <row r="996">
      <c r="C996" s="148"/>
    </row>
    <row r="997">
      <c r="C997" s="148"/>
    </row>
    <row r="998">
      <c r="C998" s="148"/>
    </row>
    <row r="999">
      <c r="C999" s="14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3" max="3" width="8.63"/>
    <col customWidth="1" min="4" max="4" width="6.25"/>
    <col customWidth="1" min="5" max="5" width="4.0"/>
  </cols>
  <sheetData>
    <row r="1">
      <c r="A1" s="14" t="s">
        <v>204</v>
      </c>
      <c r="B1" s="14" t="s">
        <v>205</v>
      </c>
      <c r="C1" s="145" t="s">
        <v>330</v>
      </c>
      <c r="D1" s="61" t="s">
        <v>333</v>
      </c>
      <c r="F1" s="14" t="s">
        <v>336</v>
      </c>
    </row>
    <row r="2">
      <c r="A2" s="14">
        <v>1.0</v>
      </c>
      <c r="B2" s="147" t="str">
        <f>Standings!B4</f>
        <v>LeonC</v>
      </c>
      <c r="C2" s="146" t="s">
        <v>210</v>
      </c>
      <c r="D2" s="149" t="s">
        <v>211</v>
      </c>
      <c r="F2" s="24" t="s">
        <v>344</v>
      </c>
    </row>
    <row r="3">
      <c r="A3" s="14">
        <v>2.0</v>
      </c>
      <c r="B3" s="147" t="str">
        <f>Standings!B15</f>
        <v>Frotes</v>
      </c>
      <c r="C3" s="146" t="s">
        <v>226</v>
      </c>
      <c r="D3" s="149" t="s">
        <v>211</v>
      </c>
    </row>
    <row r="4">
      <c r="A4" s="14">
        <v>3.0</v>
      </c>
      <c r="B4" s="147" t="str">
        <f>Standings!M15</f>
        <v>ChipsAhoya</v>
      </c>
      <c r="C4" s="146" t="s">
        <v>229</v>
      </c>
      <c r="D4" s="149" t="s">
        <v>211</v>
      </c>
    </row>
    <row r="5">
      <c r="A5" s="14">
        <v>4.0</v>
      </c>
      <c r="B5" s="147" t="str">
        <f>Standings!B5</f>
        <v>AaronGreen</v>
      </c>
      <c r="C5" s="146" t="s">
        <v>214</v>
      </c>
      <c r="D5" s="149" t="s">
        <v>211</v>
      </c>
      <c r="F5" s="14" t="s">
        <v>356</v>
      </c>
    </row>
    <row r="6">
      <c r="A6" s="14">
        <v>5.0</v>
      </c>
      <c r="B6" s="147" t="str">
        <f>Standings!B6</f>
        <v>Toper</v>
      </c>
      <c r="C6" s="146" t="s">
        <v>217</v>
      </c>
      <c r="D6" s="149" t="s">
        <v>211</v>
      </c>
      <c r="F6" s="14" t="s">
        <v>357</v>
      </c>
    </row>
    <row r="7">
      <c r="A7" s="14">
        <v>6.0</v>
      </c>
      <c r="B7" s="147" t="str">
        <f>Standings!B7</f>
        <v>Palino</v>
      </c>
      <c r="C7" s="146" t="s">
        <v>220</v>
      </c>
      <c r="D7" s="149" t="s">
        <v>211</v>
      </c>
      <c r="F7" s="24" t="s">
        <v>358</v>
      </c>
    </row>
    <row r="8">
      <c r="A8" s="14">
        <v>7.0</v>
      </c>
      <c r="B8" s="147" t="str">
        <f>Standings!B8</f>
        <v>JCleek</v>
      </c>
      <c r="C8" s="146" t="s">
        <v>223</v>
      </c>
      <c r="D8" s="149" t="s">
        <v>211</v>
      </c>
    </row>
    <row r="9">
      <c r="A9" s="14">
        <v>8.0</v>
      </c>
      <c r="B9" s="147" t="str">
        <f>Standings!B16</f>
        <v>FlyingDutchman</v>
      </c>
      <c r="C9" s="146" t="s">
        <v>249</v>
      </c>
      <c r="D9" s="151">
        <v>42767.0</v>
      </c>
      <c r="F9" s="24" t="s">
        <v>359</v>
      </c>
    </row>
    <row r="10">
      <c r="A10" s="14">
        <v>9.0</v>
      </c>
      <c r="B10" s="147" t="str">
        <f>Standings!M16</f>
        <v>Aquir</v>
      </c>
      <c r="C10" s="146" t="s">
        <v>251</v>
      </c>
      <c r="D10" s="151">
        <v>42768.0</v>
      </c>
    </row>
    <row r="11">
      <c r="A11" s="14">
        <v>10.0</v>
      </c>
      <c r="B11" s="147" t="str">
        <f>Standings!B17</f>
        <v>GregoryD</v>
      </c>
      <c r="C11" s="146" t="s">
        <v>254</v>
      </c>
      <c r="D11" s="151">
        <v>42768.0</v>
      </c>
    </row>
    <row r="12">
      <c r="A12" s="14">
        <v>11.0</v>
      </c>
      <c r="B12" s="147" t="str">
        <f>Standings!M17</f>
        <v>qhung49</v>
      </c>
      <c r="C12" s="146" t="s">
        <v>257</v>
      </c>
      <c r="D12" s="151">
        <v>42767.0</v>
      </c>
    </row>
    <row r="13">
      <c r="A13" s="14">
        <v>12.0</v>
      </c>
      <c r="B13" s="147" t="str">
        <f>Standings!B18</f>
        <v>albinsix</v>
      </c>
      <c r="C13" s="146" t="s">
        <v>260</v>
      </c>
      <c r="D13" s="151">
        <v>42767.0</v>
      </c>
    </row>
    <row r="14">
      <c r="A14" s="14">
        <v>13.0</v>
      </c>
      <c r="B14" s="147" t="str">
        <f>Standings!M18</f>
        <v>nachof</v>
      </c>
      <c r="C14" s="146" t="s">
        <v>263</v>
      </c>
      <c r="D14" s="151">
        <v>42768.0</v>
      </c>
    </row>
    <row r="15">
      <c r="A15" s="14">
        <v>14.0</v>
      </c>
      <c r="B15" s="147" t="str">
        <f>Standings!B9</f>
        <v>Grogmir</v>
      </c>
      <c r="C15" s="146" t="s">
        <v>232</v>
      </c>
      <c r="D15" s="151">
        <v>42768.0</v>
      </c>
    </row>
    <row r="16">
      <c r="A16" s="14">
        <v>15.0</v>
      </c>
      <c r="B16" s="147" t="str">
        <f>Standings!B10</f>
        <v>BlixLT</v>
      </c>
      <c r="C16" s="146" t="s">
        <v>235</v>
      </c>
      <c r="D16" s="151">
        <v>42767.0</v>
      </c>
    </row>
    <row r="17">
      <c r="A17" s="14">
        <v>16.0</v>
      </c>
      <c r="B17" s="147" t="str">
        <f>Standings!B26</f>
        <v>pajada</v>
      </c>
      <c r="C17" s="146" t="s">
        <v>238</v>
      </c>
      <c r="D17" s="151">
        <v>42767.0</v>
      </c>
    </row>
    <row r="18">
      <c r="A18" s="14">
        <v>17.0</v>
      </c>
      <c r="B18" s="147" t="str">
        <f>Standings!M26</f>
        <v>JeremyBrokaw</v>
      </c>
      <c r="C18" s="146" t="s">
        <v>241</v>
      </c>
      <c r="D18" s="151">
        <v>42768.0</v>
      </c>
    </row>
    <row r="19">
      <c r="A19" s="14">
        <v>18.0</v>
      </c>
      <c r="B19" s="147" t="str">
        <f>Standings!Y26</f>
        <v>hihihiji</v>
      </c>
      <c r="C19" s="146" t="s">
        <v>244</v>
      </c>
      <c r="D19" s="151">
        <v>42768.0</v>
      </c>
    </row>
    <row r="20">
      <c r="A20" s="14">
        <v>19.0</v>
      </c>
      <c r="B20" s="147" t="str">
        <f>Standings!B27</f>
        <v>swxnw</v>
      </c>
      <c r="C20" s="146" t="s">
        <v>246</v>
      </c>
      <c r="D20" s="151">
        <v>42767.0</v>
      </c>
    </row>
    <row r="21">
      <c r="A21" s="14">
        <v>20.0</v>
      </c>
      <c r="B21" s="147" t="str">
        <f>Standings!B19</f>
        <v>Wartin</v>
      </c>
      <c r="C21" s="146" t="s">
        <v>266</v>
      </c>
      <c r="D21" s="151">
        <v>42767.0</v>
      </c>
    </row>
    <row r="22">
      <c r="A22" s="14">
        <v>21.0</v>
      </c>
      <c r="B22" s="147" t="str">
        <f>Standings!M19</f>
        <v>jamiu5</v>
      </c>
      <c r="C22" s="146" t="s">
        <v>269</v>
      </c>
      <c r="D22" s="151">
        <v>42768.0</v>
      </c>
    </row>
    <row r="23">
      <c r="A23" s="14">
        <v>22.0</v>
      </c>
      <c r="B23" s="14" t="str">
        <f>Standings!B20</f>
        <v>Andras</v>
      </c>
      <c r="C23" s="146" t="s">
        <v>301</v>
      </c>
      <c r="D23" s="141">
        <v>42795.0</v>
      </c>
    </row>
    <row r="24">
      <c r="A24" s="14">
        <v>23.0</v>
      </c>
      <c r="B24" s="14" t="str">
        <f>Standings!M20</f>
        <v>norkle</v>
      </c>
      <c r="C24" s="146" t="s">
        <v>304</v>
      </c>
      <c r="D24" s="141">
        <v>42796.0</v>
      </c>
    </row>
    <row r="25">
      <c r="A25" s="14">
        <v>24.0</v>
      </c>
      <c r="B25" s="14" t="str">
        <f>Standings!B21</f>
        <v>Cefrebunda</v>
      </c>
      <c r="C25" s="146" t="s">
        <v>306</v>
      </c>
      <c r="D25" s="141">
        <v>42797.0</v>
      </c>
    </row>
    <row r="26">
      <c r="A26" s="14">
        <v>25.0</v>
      </c>
      <c r="B26" s="14" t="str">
        <f>Standings!M21</f>
        <v>Greenilocks</v>
      </c>
      <c r="C26" s="146" t="s">
        <v>309</v>
      </c>
      <c r="D26" s="141">
        <v>42797.0</v>
      </c>
    </row>
    <row r="27">
      <c r="A27" s="14">
        <v>26.0</v>
      </c>
      <c r="B27" s="14" t="str">
        <f>Standings!B37</f>
        <v>robster</v>
      </c>
      <c r="C27" s="146" t="s">
        <v>311</v>
      </c>
      <c r="D27" s="141">
        <v>42796.0</v>
      </c>
    </row>
    <row r="28">
      <c r="A28" s="14">
        <v>27.0</v>
      </c>
      <c r="B28" s="14" t="str">
        <f>Standings!M37</f>
        <v>DrRerNate</v>
      </c>
      <c r="C28" s="146" t="s">
        <v>314</v>
      </c>
      <c r="D28" s="141">
        <v>42795.0</v>
      </c>
    </row>
    <row r="29">
      <c r="A29" s="14">
        <v>28.0</v>
      </c>
      <c r="B29" s="14" t="str">
        <f>Standings!Y37</f>
        <v/>
      </c>
      <c r="C29" s="146" t="s">
        <v>317</v>
      </c>
      <c r="D29" s="141">
        <v>42795.0</v>
      </c>
    </row>
    <row r="30">
      <c r="A30" s="14">
        <v>29.0</v>
      </c>
      <c r="B30" s="14" t="str">
        <f>Standings!B46</f>
        <v/>
      </c>
      <c r="C30" s="146" t="s">
        <v>320</v>
      </c>
      <c r="D30" s="141">
        <v>42796.0</v>
      </c>
    </row>
    <row r="31">
      <c r="A31" s="14">
        <v>30.0</v>
      </c>
      <c r="B31" s="14" t="str">
        <f>Standings!M46</f>
        <v/>
      </c>
      <c r="C31" s="146" t="s">
        <v>272</v>
      </c>
      <c r="D31" s="141">
        <v>42797.0</v>
      </c>
    </row>
    <row r="32">
      <c r="A32" s="14">
        <v>31.0</v>
      </c>
      <c r="B32" s="14" t="str">
        <f>Standings!B38</f>
        <v>Pandaiga</v>
      </c>
      <c r="C32" s="146" t="s">
        <v>275</v>
      </c>
      <c r="D32" s="141">
        <v>42797.0</v>
      </c>
    </row>
    <row r="33">
      <c r="A33" s="14">
        <v>32.0</v>
      </c>
      <c r="B33" s="14" t="str">
        <f>Standings!M27</f>
        <v>invalidName</v>
      </c>
      <c r="C33" s="146" t="s">
        <v>278</v>
      </c>
      <c r="D33" s="141">
        <v>42796.0</v>
      </c>
    </row>
    <row r="34">
      <c r="A34" s="14">
        <v>33.0</v>
      </c>
      <c r="B34" s="14" t="str">
        <f>Standings!Y27</f>
        <v>Woodenman</v>
      </c>
      <c r="C34" s="146" t="s">
        <v>281</v>
      </c>
      <c r="D34" s="141">
        <v>42795.0</v>
      </c>
    </row>
    <row r="35">
      <c r="A35" s="14">
        <v>34.0</v>
      </c>
      <c r="B35" s="14" t="str">
        <f>Standings!B28</f>
        <v>PhiTrigger</v>
      </c>
      <c r="C35" s="146" t="s">
        <v>284</v>
      </c>
      <c r="D35" s="141">
        <v>42795.0</v>
      </c>
    </row>
    <row r="36">
      <c r="A36" s="14">
        <v>35.0</v>
      </c>
      <c r="B36" s="14" t="str">
        <f>Standings!M28</f>
        <v>takusto_ii</v>
      </c>
      <c r="C36" s="146" t="s">
        <v>287</v>
      </c>
      <c r="D36" s="141">
        <v>42796.0</v>
      </c>
    </row>
    <row r="37">
      <c r="A37" s="14">
        <v>36.0</v>
      </c>
      <c r="B37" s="14" t="str">
        <f>Standings!Y28</f>
        <v>Circadia</v>
      </c>
      <c r="C37" s="146" t="s">
        <v>290</v>
      </c>
      <c r="D37" s="141">
        <v>42797.0</v>
      </c>
    </row>
    <row r="38">
      <c r="A38" s="14">
        <v>37.0</v>
      </c>
      <c r="B38" s="14" t="str">
        <f>Standings!B29</f>
        <v>bcnoexceptions</v>
      </c>
      <c r="C38" s="146" t="s">
        <v>293</v>
      </c>
      <c r="D38" s="141">
        <v>42797.0</v>
      </c>
    </row>
    <row r="39">
      <c r="A39" s="14">
        <v>38.0</v>
      </c>
      <c r="B39" s="14" t="str">
        <f>Standings!M29</f>
        <v>Ivantz</v>
      </c>
      <c r="C39" s="146" t="s">
        <v>296</v>
      </c>
      <c r="D39" s="141">
        <v>42796.0</v>
      </c>
    </row>
    <row r="40">
      <c r="A40" s="14">
        <v>39.0</v>
      </c>
      <c r="B40" s="14" t="str">
        <f>Standings!Y29</f>
        <v>Werlix</v>
      </c>
      <c r="C40" s="146" t="s">
        <v>299</v>
      </c>
      <c r="D40" s="141">
        <v>42795.0</v>
      </c>
    </row>
    <row r="41">
      <c r="A41" s="14">
        <v>40.0</v>
      </c>
      <c r="B41" s="14" t="str">
        <f>Standings!B30</f>
        <v>FabioMP</v>
      </c>
      <c r="C41" s="146" t="s">
        <v>322</v>
      </c>
      <c r="D41" s="141">
        <v>42795.0</v>
      </c>
    </row>
    <row r="42">
      <c r="A42" s="14">
        <v>41.0</v>
      </c>
      <c r="B42" s="14" t="str">
        <f>Standings!M30</f>
        <v>Rollduptrips</v>
      </c>
      <c r="C42" s="146" t="s">
        <v>324</v>
      </c>
      <c r="D42" s="141">
        <v>42796.0</v>
      </c>
    </row>
    <row r="43">
      <c r="A43" s="14">
        <v>42.0</v>
      </c>
      <c r="B43" s="14" t="str">
        <f>Standings!Y30</f>
        <v>funkenschlag</v>
      </c>
      <c r="C43" s="146" t="s">
        <v>327</v>
      </c>
      <c r="D43" s="141">
        <v>42797.0</v>
      </c>
    </row>
    <row r="44">
      <c r="A44" s="14">
        <v>43.0</v>
      </c>
      <c r="B44" s="14" t="str">
        <f>Standings!B31</f>
        <v>nasing</v>
      </c>
      <c r="C44" s="146" t="s">
        <v>360</v>
      </c>
      <c r="D44" s="152">
        <v>42826.0</v>
      </c>
    </row>
    <row r="45">
      <c r="A45" s="14">
        <v>44.0</v>
      </c>
      <c r="B45" s="14" t="str">
        <f>Standings!M31</f>
        <v>checkmate4200</v>
      </c>
      <c r="C45" s="146" t="s">
        <v>361</v>
      </c>
      <c r="D45" s="152">
        <v>42827.0</v>
      </c>
    </row>
    <row r="46">
      <c r="A46" s="14">
        <v>45.0</v>
      </c>
      <c r="B46" s="14" t="str">
        <f>Standings!Y31</f>
        <v>Fad23</v>
      </c>
      <c r="C46" s="146" t="s">
        <v>363</v>
      </c>
      <c r="D46" s="152">
        <v>42828.0</v>
      </c>
    </row>
    <row r="47">
      <c r="A47" s="14">
        <v>46.0</v>
      </c>
      <c r="B47" s="14" t="str">
        <f>Standings!B32</f>
        <v>rporrini</v>
      </c>
      <c r="C47" s="146" t="s">
        <v>364</v>
      </c>
      <c r="D47" s="152">
        <v>42829.0</v>
      </c>
    </row>
    <row r="48">
      <c r="A48" s="14">
        <v>47.0</v>
      </c>
      <c r="B48" s="14" t="str">
        <f>Standings!M32</f>
        <v>demianv</v>
      </c>
      <c r="C48" s="146" t="s">
        <v>365</v>
      </c>
      <c r="D48" s="152">
        <v>42830.0</v>
      </c>
    </row>
    <row r="49">
      <c r="A49" s="14">
        <v>48.0</v>
      </c>
      <c r="B49" s="14" t="str">
        <f>Standings!Y32</f>
        <v>Flynn</v>
      </c>
      <c r="C49" s="146" t="s">
        <v>366</v>
      </c>
      <c r="D49" s="152">
        <v>42830.0</v>
      </c>
    </row>
    <row r="50">
      <c r="A50" s="14">
        <v>49.0</v>
      </c>
      <c r="B50" s="14"/>
      <c r="C50" s="146" t="s">
        <v>367</v>
      </c>
      <c r="D50" s="152">
        <v>42829.0</v>
      </c>
    </row>
    <row r="51">
      <c r="A51" s="14">
        <v>50.0</v>
      </c>
      <c r="C51" s="146" t="s">
        <v>368</v>
      </c>
      <c r="D51" s="152">
        <v>42828.0</v>
      </c>
    </row>
    <row r="52">
      <c r="A52" s="14">
        <v>51.0</v>
      </c>
      <c r="C52" s="146" t="s">
        <v>369</v>
      </c>
      <c r="D52" s="152">
        <v>42827.0</v>
      </c>
    </row>
    <row r="53">
      <c r="A53" s="14">
        <v>52.0</v>
      </c>
      <c r="C53" s="146" t="s">
        <v>370</v>
      </c>
      <c r="D53" s="152">
        <v>42826.0</v>
      </c>
    </row>
    <row r="54">
      <c r="A54" s="14">
        <v>53.0</v>
      </c>
      <c r="C54" s="146" t="s">
        <v>371</v>
      </c>
      <c r="D54" s="152">
        <v>42826.0</v>
      </c>
    </row>
    <row r="55">
      <c r="A55" s="14">
        <v>54.0</v>
      </c>
      <c r="C55" s="146" t="s">
        <v>372</v>
      </c>
      <c r="D55" s="152">
        <v>42827.0</v>
      </c>
    </row>
    <row r="56">
      <c r="A56" s="14">
        <v>55.0</v>
      </c>
      <c r="C56" s="146" t="s">
        <v>373</v>
      </c>
      <c r="D56" s="152">
        <v>42828.0</v>
      </c>
    </row>
    <row r="57">
      <c r="A57" s="14">
        <v>56.0</v>
      </c>
      <c r="C57" s="146" t="s">
        <v>374</v>
      </c>
      <c r="D57" s="152">
        <v>42829.0</v>
      </c>
    </row>
    <row r="58">
      <c r="A58" s="14">
        <v>57.0</v>
      </c>
      <c r="C58" s="146" t="s">
        <v>375</v>
      </c>
      <c r="D58" s="152">
        <v>42830.0</v>
      </c>
    </row>
    <row r="59">
      <c r="A59" s="14">
        <v>58.0</v>
      </c>
      <c r="C59" s="146" t="s">
        <v>376</v>
      </c>
      <c r="D59" s="152">
        <v>42830.0</v>
      </c>
    </row>
    <row r="60">
      <c r="A60" s="14">
        <v>59.0</v>
      </c>
      <c r="C60" s="146" t="s">
        <v>377</v>
      </c>
      <c r="D60" s="152">
        <v>42829.0</v>
      </c>
    </row>
    <row r="61">
      <c r="A61" s="14">
        <v>60.0</v>
      </c>
      <c r="C61" s="146" t="s">
        <v>378</v>
      </c>
      <c r="D61" s="152">
        <v>42828.0</v>
      </c>
    </row>
    <row r="62">
      <c r="A62" s="14">
        <v>61.0</v>
      </c>
      <c r="C62" s="146" t="s">
        <v>379</v>
      </c>
      <c r="D62" s="152">
        <v>42827.0</v>
      </c>
    </row>
    <row r="63">
      <c r="A63" s="14">
        <v>62.0</v>
      </c>
      <c r="C63" s="146" t="s">
        <v>380</v>
      </c>
      <c r="D63" s="152">
        <v>42826.0</v>
      </c>
    </row>
    <row r="64">
      <c r="A64" s="14">
        <v>63.0</v>
      </c>
      <c r="C64" s="146" t="s">
        <v>381</v>
      </c>
      <c r="D64" s="152">
        <v>42826.0</v>
      </c>
    </row>
    <row r="65">
      <c r="A65" s="14">
        <v>64.0</v>
      </c>
      <c r="C65" s="146" t="s">
        <v>382</v>
      </c>
      <c r="D65" s="152">
        <v>42827.0</v>
      </c>
    </row>
    <row r="66">
      <c r="A66" s="14">
        <v>65.0</v>
      </c>
      <c r="C66" s="146" t="s">
        <v>383</v>
      </c>
      <c r="D66" s="152">
        <v>42828.0</v>
      </c>
    </row>
    <row r="67">
      <c r="A67" s="14">
        <v>66.0</v>
      </c>
      <c r="C67" s="146" t="s">
        <v>384</v>
      </c>
      <c r="D67" s="152">
        <v>42829.0</v>
      </c>
    </row>
    <row r="68">
      <c r="A68" s="14">
        <v>67.0</v>
      </c>
      <c r="C68" s="146" t="s">
        <v>385</v>
      </c>
      <c r="D68" s="152">
        <v>42830.0</v>
      </c>
    </row>
    <row r="69">
      <c r="A69" s="14">
        <v>68.0</v>
      </c>
      <c r="C69" s="146" t="s">
        <v>386</v>
      </c>
      <c r="D69" s="152">
        <v>42830.0</v>
      </c>
    </row>
    <row r="70">
      <c r="A70" s="14">
        <v>69.0</v>
      </c>
      <c r="C70" s="146" t="s">
        <v>387</v>
      </c>
      <c r="D70" s="152">
        <v>42829.0</v>
      </c>
    </row>
    <row r="71">
      <c r="A71" s="14">
        <v>70.0</v>
      </c>
      <c r="C71" s="146" t="s">
        <v>388</v>
      </c>
      <c r="D71" s="152">
        <v>42828.0</v>
      </c>
    </row>
    <row r="72">
      <c r="A72" s="14">
        <v>71.0</v>
      </c>
      <c r="C72" s="146" t="s">
        <v>389</v>
      </c>
      <c r="D72" s="152">
        <v>42827.0</v>
      </c>
    </row>
    <row r="73">
      <c r="A73" s="14">
        <v>72.0</v>
      </c>
      <c r="C73" s="146" t="s">
        <v>390</v>
      </c>
      <c r="D73" s="152">
        <v>42826.0</v>
      </c>
    </row>
    <row r="74">
      <c r="A74" s="14">
        <v>73.0</v>
      </c>
      <c r="C74" s="146" t="s">
        <v>391</v>
      </c>
      <c r="D74" s="152">
        <v>42826.0</v>
      </c>
    </row>
    <row r="75">
      <c r="A75" s="14">
        <v>74.0</v>
      </c>
      <c r="C75" s="146" t="s">
        <v>392</v>
      </c>
      <c r="D75" s="152">
        <v>42827.0</v>
      </c>
    </row>
    <row r="76">
      <c r="A76" s="14">
        <v>75.0</v>
      </c>
      <c r="C76" s="146" t="s">
        <v>393</v>
      </c>
      <c r="D76" s="152">
        <v>42828.0</v>
      </c>
    </row>
    <row r="77">
      <c r="A77" s="14">
        <v>76.0</v>
      </c>
      <c r="C77" s="146" t="s">
        <v>394</v>
      </c>
      <c r="D77" s="152">
        <v>42829.0</v>
      </c>
    </row>
    <row r="78">
      <c r="A78" s="14">
        <v>77.0</v>
      </c>
      <c r="C78" s="146" t="s">
        <v>395</v>
      </c>
      <c r="D78" s="152">
        <v>42830.0</v>
      </c>
    </row>
    <row r="79">
      <c r="A79" s="14">
        <v>78.0</v>
      </c>
      <c r="C79" s="146" t="s">
        <v>396</v>
      </c>
      <c r="D79" s="150">
        <v>42856.0</v>
      </c>
    </row>
    <row r="80">
      <c r="A80" s="14">
        <v>79.0</v>
      </c>
      <c r="C80" s="146" t="s">
        <v>397</v>
      </c>
      <c r="D80" s="14" t="s">
        <v>397</v>
      </c>
    </row>
    <row r="81">
      <c r="A81" s="14">
        <v>80.0</v>
      </c>
      <c r="C81" s="146"/>
    </row>
    <row r="82">
      <c r="A82" s="14">
        <v>81.0</v>
      </c>
      <c r="C82" s="146"/>
    </row>
    <row r="83">
      <c r="A83" s="14">
        <v>82.0</v>
      </c>
      <c r="C83" s="146"/>
    </row>
    <row r="84">
      <c r="A84" s="14">
        <v>83.0</v>
      </c>
      <c r="C84" s="146"/>
    </row>
    <row r="85">
      <c r="A85" s="14">
        <v>84.0</v>
      </c>
      <c r="C85" s="146"/>
    </row>
    <row r="86">
      <c r="A86" s="14">
        <v>85.0</v>
      </c>
      <c r="C86" s="146"/>
    </row>
    <row r="87">
      <c r="A87" s="14">
        <v>86.0</v>
      </c>
      <c r="C87" s="146"/>
    </row>
    <row r="88">
      <c r="A88" s="14">
        <v>87.0</v>
      </c>
      <c r="C88" s="146"/>
    </row>
    <row r="89">
      <c r="A89" s="14">
        <v>88.0</v>
      </c>
      <c r="C89" s="146"/>
    </row>
    <row r="90">
      <c r="A90" s="14">
        <v>89.0</v>
      </c>
      <c r="C90" s="146"/>
    </row>
    <row r="91">
      <c r="A91" s="14">
        <v>90.0</v>
      </c>
      <c r="C91" s="146"/>
    </row>
    <row r="92">
      <c r="A92" s="14">
        <v>91.0</v>
      </c>
      <c r="C92" s="146"/>
    </row>
    <row r="93">
      <c r="A93" s="14">
        <v>92.0</v>
      </c>
      <c r="C93" s="146"/>
    </row>
    <row r="94">
      <c r="A94" s="14">
        <v>93.0</v>
      </c>
      <c r="C94" s="146"/>
    </row>
    <row r="95">
      <c r="A95" s="14">
        <v>94.0</v>
      </c>
      <c r="C95" s="146"/>
    </row>
    <row r="96">
      <c r="A96" s="14">
        <v>95.0</v>
      </c>
      <c r="C96" s="146"/>
    </row>
    <row r="97">
      <c r="A97" s="14">
        <v>96.0</v>
      </c>
      <c r="C97" s="146"/>
    </row>
    <row r="98">
      <c r="A98" s="14">
        <v>97.0</v>
      </c>
      <c r="C98" s="146"/>
    </row>
    <row r="99">
      <c r="A99" s="14">
        <v>98.0</v>
      </c>
      <c r="C99" s="146"/>
    </row>
    <row r="100">
      <c r="A100" s="14">
        <v>99.0</v>
      </c>
      <c r="C100" s="146"/>
    </row>
    <row r="101">
      <c r="A101" s="14">
        <v>100.0</v>
      </c>
      <c r="C101" s="146"/>
    </row>
    <row r="102">
      <c r="A102" s="14">
        <v>101.0</v>
      </c>
      <c r="C102" s="146"/>
    </row>
    <row r="103">
      <c r="A103" s="14">
        <v>102.0</v>
      </c>
      <c r="C103" s="146"/>
    </row>
    <row r="104">
      <c r="A104" s="14">
        <v>103.0</v>
      </c>
      <c r="C104" s="146"/>
    </row>
    <row r="105">
      <c r="A105" s="14">
        <v>104.0</v>
      </c>
      <c r="C105" s="146"/>
    </row>
    <row r="106">
      <c r="A106" s="14">
        <v>105.0</v>
      </c>
      <c r="C106" s="146"/>
    </row>
    <row r="107">
      <c r="C107" s="146"/>
    </row>
    <row r="108">
      <c r="C108" s="146"/>
    </row>
    <row r="109">
      <c r="C109" s="146"/>
    </row>
    <row r="110">
      <c r="C110" s="146"/>
    </row>
    <row r="111">
      <c r="C111" s="146"/>
    </row>
    <row r="112">
      <c r="C112" s="146"/>
    </row>
    <row r="113">
      <c r="C113" s="146"/>
    </row>
    <row r="114">
      <c r="C114" s="146"/>
    </row>
    <row r="115">
      <c r="C115" s="146"/>
    </row>
    <row r="116">
      <c r="C116" s="146"/>
    </row>
    <row r="117">
      <c r="C117" s="146"/>
    </row>
    <row r="118">
      <c r="C118" s="146"/>
    </row>
    <row r="119">
      <c r="C119" s="146"/>
    </row>
    <row r="120">
      <c r="C120" s="146"/>
    </row>
    <row r="121">
      <c r="C121" s="146"/>
    </row>
    <row r="122">
      <c r="C122" s="146"/>
    </row>
    <row r="123">
      <c r="C123" s="146"/>
    </row>
    <row r="124">
      <c r="C124" s="146"/>
    </row>
  </sheetData>
  <mergeCells count="3">
    <mergeCell ref="F2:I4"/>
    <mergeCell ref="F7:I8"/>
    <mergeCell ref="F9:I1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38"/>
    <col customWidth="1" min="2" max="2" width="5.25"/>
    <col customWidth="1" min="3" max="23" width="3.63"/>
  </cols>
  <sheetData>
    <row r="1">
      <c r="B1" s="153" t="s">
        <v>398</v>
      </c>
    </row>
    <row r="2" ht="27.0" customHeight="1">
      <c r="B2" s="45" t="s">
        <v>399</v>
      </c>
      <c r="C2" s="45" t="s">
        <v>400</v>
      </c>
    </row>
    <row r="3">
      <c r="B3" s="154"/>
      <c r="C3" s="155">
        <v>42736.0</v>
      </c>
      <c r="D3" s="156">
        <v>42767.0</v>
      </c>
      <c r="E3" s="157">
        <v>42768.0</v>
      </c>
      <c r="F3" s="158">
        <v>42795.0</v>
      </c>
      <c r="G3" s="159">
        <v>42796.0</v>
      </c>
      <c r="H3" s="160">
        <v>42797.0</v>
      </c>
      <c r="I3" s="161">
        <v>42826.0</v>
      </c>
      <c r="J3" s="162">
        <v>42827.0</v>
      </c>
      <c r="K3" s="162">
        <v>42828.0</v>
      </c>
      <c r="L3" s="162">
        <v>42829.0</v>
      </c>
      <c r="M3" s="163">
        <v>42830.0</v>
      </c>
      <c r="N3" s="164">
        <v>42856.0</v>
      </c>
      <c r="O3" s="165">
        <v>42857.0</v>
      </c>
      <c r="P3" s="165">
        <v>42858.0</v>
      </c>
      <c r="Q3" s="165">
        <v>42859.0</v>
      </c>
      <c r="R3" s="165">
        <v>42860.0</v>
      </c>
      <c r="S3" s="165">
        <v>42861.0</v>
      </c>
      <c r="T3" s="165">
        <v>42862.0</v>
      </c>
      <c r="U3" s="166">
        <v>42863.0</v>
      </c>
      <c r="V3" s="167">
        <v>42887.0</v>
      </c>
      <c r="W3" s="168">
        <v>42888.0</v>
      </c>
    </row>
    <row r="4">
      <c r="B4" s="14">
        <v>22.0</v>
      </c>
      <c r="C4" s="14">
        <v>7.0</v>
      </c>
      <c r="D4" s="14">
        <v>14.0</v>
      </c>
      <c r="E4" s="14">
        <v>21.0</v>
      </c>
      <c r="F4" s="14">
        <v>28.0</v>
      </c>
      <c r="G4" s="14">
        <v>35.0</v>
      </c>
      <c r="H4" s="14">
        <v>42.0</v>
      </c>
      <c r="I4" s="14">
        <v>49.0</v>
      </c>
      <c r="J4" s="14">
        <v>56.0</v>
      </c>
      <c r="K4" s="14">
        <v>63.0</v>
      </c>
      <c r="L4" s="14">
        <v>70.0</v>
      </c>
      <c r="M4" s="14">
        <v>77.0</v>
      </c>
      <c r="N4" s="14">
        <v>84.0</v>
      </c>
      <c r="O4" s="14">
        <v>91.0</v>
      </c>
      <c r="P4" s="14">
        <v>98.0</v>
      </c>
      <c r="Q4" s="14">
        <v>105.0</v>
      </c>
      <c r="R4" s="14">
        <v>112.0</v>
      </c>
      <c r="S4" s="14">
        <v>119.0</v>
      </c>
      <c r="T4" s="14">
        <v>126.0</v>
      </c>
      <c r="U4" s="14">
        <v>133.0</v>
      </c>
    </row>
    <row r="5">
      <c r="A5">
        <f t="shared" ref="A5:A110" si="1">sum(C5:U5)</f>
        <v>2</v>
      </c>
      <c r="B5" s="14">
        <v>23.0</v>
      </c>
      <c r="D5" s="14">
        <v>1.0</v>
      </c>
      <c r="E5" s="14">
        <v>1.0</v>
      </c>
    </row>
    <row r="6">
      <c r="A6">
        <f t="shared" si="1"/>
        <v>3</v>
      </c>
      <c r="B6" s="14">
        <v>24.0</v>
      </c>
      <c r="D6" s="14">
        <v>1.0</v>
      </c>
      <c r="E6" s="14">
        <v>2.0</v>
      </c>
      <c r="J6" s="14" t="s">
        <v>401</v>
      </c>
    </row>
    <row r="7">
      <c r="A7">
        <f t="shared" si="1"/>
        <v>4</v>
      </c>
      <c r="B7" s="14">
        <v>25.0</v>
      </c>
      <c r="D7" s="14">
        <v>2.0</v>
      </c>
      <c r="E7" s="14">
        <v>2.0</v>
      </c>
      <c r="K7" s="169" t="s">
        <v>402</v>
      </c>
    </row>
    <row r="8">
      <c r="A8">
        <f t="shared" si="1"/>
        <v>5</v>
      </c>
      <c r="B8" s="14">
        <v>26.0</v>
      </c>
      <c r="C8" s="14">
        <v>1.0</v>
      </c>
      <c r="D8" s="14">
        <v>2.0</v>
      </c>
      <c r="E8" s="14">
        <v>2.0</v>
      </c>
      <c r="K8" s="169" t="s">
        <v>403</v>
      </c>
    </row>
    <row r="9">
      <c r="A9">
        <f t="shared" si="1"/>
        <v>6</v>
      </c>
      <c r="B9" s="14">
        <v>27.0</v>
      </c>
      <c r="C9" s="14">
        <v>2.0</v>
      </c>
      <c r="D9" s="14">
        <v>2.0</v>
      </c>
      <c r="E9" s="14">
        <v>2.0</v>
      </c>
      <c r="K9" s="170" t="s">
        <v>404</v>
      </c>
    </row>
    <row r="10">
      <c r="A10">
        <f t="shared" si="1"/>
        <v>0</v>
      </c>
      <c r="B10" s="154">
        <v>28.0</v>
      </c>
      <c r="C10" s="14"/>
    </row>
    <row r="11">
      <c r="A11">
        <f t="shared" si="1"/>
        <v>1</v>
      </c>
      <c r="B11" s="14">
        <v>29.0</v>
      </c>
      <c r="C11" s="14"/>
      <c r="F11" s="14">
        <v>1.0</v>
      </c>
    </row>
    <row r="12">
      <c r="A12">
        <f t="shared" si="1"/>
        <v>2</v>
      </c>
      <c r="B12" s="14">
        <v>30.0</v>
      </c>
      <c r="C12" s="14"/>
      <c r="E12" s="14"/>
      <c r="F12" s="14">
        <v>2.0</v>
      </c>
    </row>
    <row r="13">
      <c r="A13">
        <f t="shared" si="1"/>
        <v>3</v>
      </c>
      <c r="B13" s="14">
        <v>31.0</v>
      </c>
      <c r="C13" s="14"/>
      <c r="D13" s="14">
        <v>1.0</v>
      </c>
      <c r="E13" s="14">
        <v>1.0</v>
      </c>
      <c r="F13" s="14">
        <v>1.0</v>
      </c>
    </row>
    <row r="14">
      <c r="A14">
        <f t="shared" si="1"/>
        <v>4</v>
      </c>
      <c r="B14" s="14">
        <v>32.0</v>
      </c>
      <c r="C14" s="14"/>
      <c r="D14" s="14">
        <v>1.0</v>
      </c>
      <c r="E14" s="14">
        <v>1.0</v>
      </c>
      <c r="F14" s="14">
        <v>2.0</v>
      </c>
    </row>
    <row r="15">
      <c r="A15">
        <f t="shared" si="1"/>
        <v>5</v>
      </c>
      <c r="B15" s="14">
        <v>33.0</v>
      </c>
      <c r="C15" s="14"/>
      <c r="D15" s="14">
        <v>1.0</v>
      </c>
      <c r="E15" s="14">
        <v>2.0</v>
      </c>
      <c r="F15" s="14">
        <v>2.0</v>
      </c>
    </row>
    <row r="16">
      <c r="A16">
        <f t="shared" si="1"/>
        <v>6</v>
      </c>
      <c r="B16" s="14">
        <v>34.0</v>
      </c>
      <c r="C16" s="14"/>
      <c r="D16" s="14">
        <v>2.0</v>
      </c>
      <c r="E16" s="14">
        <v>2.0</v>
      </c>
      <c r="F16" s="14">
        <v>2.0</v>
      </c>
    </row>
    <row r="17">
      <c r="A17">
        <f t="shared" si="1"/>
        <v>0</v>
      </c>
      <c r="B17" s="154">
        <v>35.0</v>
      </c>
      <c r="C17" s="14"/>
    </row>
    <row r="18">
      <c r="A18">
        <f t="shared" si="1"/>
        <v>1</v>
      </c>
      <c r="B18" s="14">
        <v>36.0</v>
      </c>
      <c r="C18" s="14"/>
      <c r="G18" s="14">
        <v>1.0</v>
      </c>
    </row>
    <row r="19">
      <c r="A19">
        <f t="shared" si="1"/>
        <v>2</v>
      </c>
      <c r="B19" s="14">
        <v>37.0</v>
      </c>
      <c r="C19" s="14"/>
      <c r="F19" s="14">
        <v>1.0</v>
      </c>
      <c r="G19" s="14">
        <v>1.0</v>
      </c>
    </row>
    <row r="20">
      <c r="A20">
        <f t="shared" si="1"/>
        <v>3</v>
      </c>
      <c r="B20" s="14">
        <v>38.0</v>
      </c>
      <c r="C20" s="14"/>
      <c r="F20" s="14">
        <v>1.0</v>
      </c>
      <c r="G20" s="14">
        <v>2.0</v>
      </c>
    </row>
    <row r="21">
      <c r="A21">
        <f t="shared" si="1"/>
        <v>4</v>
      </c>
      <c r="B21" s="14">
        <v>39.0</v>
      </c>
      <c r="C21" s="14"/>
      <c r="D21" s="14"/>
      <c r="E21" s="14"/>
      <c r="F21" s="14">
        <v>2.0</v>
      </c>
      <c r="G21" s="14">
        <v>2.0</v>
      </c>
    </row>
    <row r="22">
      <c r="A22">
        <f t="shared" si="1"/>
        <v>5</v>
      </c>
      <c r="B22" s="14">
        <v>40.0</v>
      </c>
      <c r="C22" s="14"/>
      <c r="D22" s="14">
        <v>1.0</v>
      </c>
      <c r="E22" s="14">
        <v>1.0</v>
      </c>
      <c r="F22" s="14">
        <v>1.0</v>
      </c>
      <c r="G22" s="14">
        <v>2.0</v>
      </c>
    </row>
    <row r="23">
      <c r="A23">
        <f t="shared" si="1"/>
        <v>6</v>
      </c>
      <c r="B23" s="14">
        <v>41.0</v>
      </c>
      <c r="C23" s="14"/>
      <c r="D23" s="14">
        <v>1.0</v>
      </c>
      <c r="E23" s="14">
        <v>1.0</v>
      </c>
      <c r="F23" s="14">
        <v>2.0</v>
      </c>
      <c r="G23" s="14">
        <v>2.0</v>
      </c>
    </row>
    <row r="24">
      <c r="A24">
        <f t="shared" si="1"/>
        <v>0</v>
      </c>
      <c r="B24" s="154">
        <v>42.0</v>
      </c>
      <c r="C24" s="14"/>
    </row>
    <row r="25">
      <c r="A25">
        <f t="shared" si="1"/>
        <v>1</v>
      </c>
      <c r="B25" s="14">
        <v>43.0</v>
      </c>
      <c r="C25" s="14"/>
      <c r="H25" s="14">
        <v>1.0</v>
      </c>
    </row>
    <row r="26">
      <c r="A26">
        <f t="shared" si="1"/>
        <v>2</v>
      </c>
      <c r="B26" s="14">
        <v>44.0</v>
      </c>
      <c r="C26" s="14"/>
      <c r="G26" s="14">
        <v>1.0</v>
      </c>
      <c r="H26" s="14">
        <v>1.0</v>
      </c>
    </row>
    <row r="27">
      <c r="A27">
        <f t="shared" si="1"/>
        <v>3</v>
      </c>
      <c r="B27" s="14">
        <v>45.0</v>
      </c>
      <c r="C27" s="14"/>
      <c r="F27" s="14">
        <v>1.0</v>
      </c>
      <c r="G27" s="14">
        <v>1.0</v>
      </c>
      <c r="H27" s="14">
        <v>1.0</v>
      </c>
    </row>
    <row r="28">
      <c r="A28">
        <f t="shared" si="1"/>
        <v>4</v>
      </c>
      <c r="B28" s="14">
        <v>46.0</v>
      </c>
      <c r="C28" s="14"/>
      <c r="F28" s="14">
        <v>1.0</v>
      </c>
      <c r="G28" s="14">
        <v>1.0</v>
      </c>
      <c r="H28" s="14">
        <v>2.0</v>
      </c>
    </row>
    <row r="29">
      <c r="A29">
        <f t="shared" si="1"/>
        <v>5</v>
      </c>
      <c r="B29" s="14">
        <v>47.0</v>
      </c>
      <c r="C29" s="14"/>
      <c r="F29" s="14">
        <v>1.0</v>
      </c>
      <c r="G29" s="14">
        <v>2.0</v>
      </c>
      <c r="H29" s="14">
        <v>2.0</v>
      </c>
    </row>
    <row r="30">
      <c r="A30">
        <f t="shared" si="1"/>
        <v>6</v>
      </c>
      <c r="B30" s="14">
        <v>48.0</v>
      </c>
      <c r="C30" s="14"/>
      <c r="F30" s="14">
        <v>2.0</v>
      </c>
      <c r="G30" s="14">
        <v>2.0</v>
      </c>
      <c r="H30" s="14">
        <v>2.0</v>
      </c>
    </row>
    <row r="31">
      <c r="A31">
        <f t="shared" si="1"/>
        <v>0</v>
      </c>
      <c r="B31" s="154">
        <v>49.0</v>
      </c>
      <c r="C31" s="14"/>
    </row>
    <row r="32">
      <c r="A32">
        <f t="shared" si="1"/>
        <v>1</v>
      </c>
      <c r="B32" s="14">
        <v>50.0</v>
      </c>
      <c r="C32" s="14"/>
      <c r="I32" s="14">
        <v>1.0</v>
      </c>
    </row>
    <row r="33">
      <c r="A33">
        <f t="shared" si="1"/>
        <v>2</v>
      </c>
      <c r="B33" s="14">
        <v>51.0</v>
      </c>
      <c r="C33" s="14"/>
      <c r="I33" s="14">
        <v>2.0</v>
      </c>
    </row>
    <row r="34">
      <c r="A34">
        <f t="shared" si="1"/>
        <v>3</v>
      </c>
      <c r="B34" s="14">
        <v>52.0</v>
      </c>
      <c r="C34" s="14"/>
      <c r="F34" s="14">
        <v>1.0</v>
      </c>
      <c r="G34" s="14">
        <v>1.0</v>
      </c>
      <c r="H34" s="14">
        <v>1.0</v>
      </c>
    </row>
    <row r="35">
      <c r="A35">
        <f t="shared" si="1"/>
        <v>4</v>
      </c>
      <c r="B35" s="14">
        <v>53.0</v>
      </c>
      <c r="C35" s="14"/>
      <c r="F35" s="14">
        <v>1.0</v>
      </c>
      <c r="G35" s="14">
        <v>1.0</v>
      </c>
      <c r="H35" s="14">
        <v>1.0</v>
      </c>
      <c r="I35" s="14">
        <v>1.0</v>
      </c>
    </row>
    <row r="36">
      <c r="A36">
        <f t="shared" si="1"/>
        <v>5</v>
      </c>
      <c r="B36" s="14">
        <v>54.0</v>
      </c>
      <c r="C36" s="14"/>
      <c r="F36" s="14">
        <v>1.0</v>
      </c>
      <c r="G36" s="14">
        <v>1.0</v>
      </c>
      <c r="H36" s="14">
        <v>1.0</v>
      </c>
      <c r="I36" s="14">
        <v>2.0</v>
      </c>
    </row>
    <row r="37">
      <c r="A37">
        <f t="shared" si="1"/>
        <v>6</v>
      </c>
      <c r="B37" s="14">
        <v>55.0</v>
      </c>
      <c r="C37" s="14"/>
      <c r="D37" s="14"/>
      <c r="E37" s="14"/>
      <c r="F37" s="14">
        <v>1.0</v>
      </c>
      <c r="G37" s="14">
        <v>1.0</v>
      </c>
      <c r="H37" s="14">
        <v>2.0</v>
      </c>
      <c r="I37" s="14">
        <v>2.0</v>
      </c>
    </row>
    <row r="38">
      <c r="A38">
        <f t="shared" si="1"/>
        <v>0</v>
      </c>
      <c r="B38" s="154">
        <v>56.0</v>
      </c>
      <c r="C38" s="14"/>
    </row>
    <row r="39">
      <c r="A39">
        <f t="shared" si="1"/>
        <v>1</v>
      </c>
      <c r="B39" s="14">
        <v>57.0</v>
      </c>
      <c r="J39" s="14">
        <v>1.0</v>
      </c>
    </row>
    <row r="40">
      <c r="A40">
        <f t="shared" si="1"/>
        <v>2</v>
      </c>
      <c r="B40" s="14">
        <v>58.0</v>
      </c>
      <c r="I40" s="14">
        <v>1.0</v>
      </c>
      <c r="J40" s="14">
        <v>1.0</v>
      </c>
    </row>
    <row r="41">
      <c r="A41">
        <f t="shared" si="1"/>
        <v>3</v>
      </c>
      <c r="B41" s="14">
        <v>59.0</v>
      </c>
      <c r="I41" s="14">
        <v>1.0</v>
      </c>
      <c r="J41" s="14">
        <v>2.0</v>
      </c>
    </row>
    <row r="42">
      <c r="A42">
        <f t="shared" si="1"/>
        <v>4</v>
      </c>
      <c r="B42" s="14">
        <v>60.0</v>
      </c>
      <c r="I42" s="14">
        <v>2.0</v>
      </c>
      <c r="J42" s="14">
        <v>2.0</v>
      </c>
    </row>
    <row r="43">
      <c r="A43">
        <f t="shared" si="1"/>
        <v>5</v>
      </c>
      <c r="B43" s="14">
        <v>61.0</v>
      </c>
      <c r="F43" s="14">
        <v>1.0</v>
      </c>
      <c r="G43" s="14">
        <v>1.0</v>
      </c>
      <c r="H43" s="14">
        <v>1.0</v>
      </c>
      <c r="I43" s="14">
        <v>1.0</v>
      </c>
      <c r="J43" s="14">
        <v>1.0</v>
      </c>
    </row>
    <row r="44">
      <c r="A44">
        <f t="shared" si="1"/>
        <v>6</v>
      </c>
      <c r="B44" s="14">
        <v>62.0</v>
      </c>
      <c r="F44" s="14">
        <v>1.0</v>
      </c>
      <c r="G44" s="14">
        <v>1.0</v>
      </c>
      <c r="H44" s="14">
        <v>1.0</v>
      </c>
      <c r="I44" s="14">
        <v>1.0</v>
      </c>
      <c r="J44" s="14">
        <v>2.0</v>
      </c>
    </row>
    <row r="45">
      <c r="A45">
        <f t="shared" si="1"/>
        <v>0</v>
      </c>
      <c r="B45" s="154">
        <v>63.0</v>
      </c>
    </row>
    <row r="46">
      <c r="A46">
        <f t="shared" si="1"/>
        <v>1</v>
      </c>
      <c r="B46" s="14">
        <v>64.0</v>
      </c>
      <c r="K46" s="14">
        <v>1.0</v>
      </c>
    </row>
    <row r="47">
      <c r="A47">
        <f t="shared" si="1"/>
        <v>2</v>
      </c>
      <c r="B47" s="14">
        <v>65.0</v>
      </c>
      <c r="J47" s="14">
        <v>1.0</v>
      </c>
      <c r="K47" s="14">
        <v>1.0</v>
      </c>
    </row>
    <row r="48">
      <c r="A48">
        <f t="shared" si="1"/>
        <v>3</v>
      </c>
      <c r="B48" s="14">
        <v>66.0</v>
      </c>
      <c r="I48" s="14">
        <v>1.0</v>
      </c>
      <c r="J48" s="14">
        <v>1.0</v>
      </c>
      <c r="K48" s="14">
        <v>1.0</v>
      </c>
    </row>
    <row r="49">
      <c r="A49">
        <f t="shared" si="1"/>
        <v>4</v>
      </c>
      <c r="B49" s="14">
        <v>67.0</v>
      </c>
      <c r="I49" s="14">
        <v>1.0</v>
      </c>
      <c r="J49" s="14">
        <v>1.0</v>
      </c>
      <c r="K49" s="14">
        <v>2.0</v>
      </c>
    </row>
    <row r="50">
      <c r="A50">
        <f t="shared" si="1"/>
        <v>5</v>
      </c>
      <c r="B50" s="14">
        <v>68.0</v>
      </c>
      <c r="I50" s="14">
        <v>1.0</v>
      </c>
      <c r="J50" s="14">
        <v>2.0</v>
      </c>
      <c r="K50" s="14">
        <v>2.0</v>
      </c>
    </row>
    <row r="51">
      <c r="A51">
        <f t="shared" si="1"/>
        <v>6</v>
      </c>
      <c r="B51" s="14">
        <v>69.0</v>
      </c>
      <c r="F51" s="14"/>
      <c r="G51" s="14"/>
      <c r="H51" s="14"/>
      <c r="I51" s="14">
        <v>2.0</v>
      </c>
      <c r="J51" s="14">
        <v>2.0</v>
      </c>
      <c r="K51" s="14">
        <v>2.0</v>
      </c>
    </row>
    <row r="52">
      <c r="A52">
        <f t="shared" si="1"/>
        <v>0</v>
      </c>
      <c r="B52" s="154">
        <v>70.0</v>
      </c>
      <c r="L52" s="14"/>
    </row>
    <row r="53">
      <c r="A53">
        <f t="shared" si="1"/>
        <v>1</v>
      </c>
      <c r="B53" s="14">
        <v>71.0</v>
      </c>
      <c r="K53" s="14"/>
      <c r="L53" s="14">
        <v>1.0</v>
      </c>
    </row>
    <row r="54">
      <c r="A54">
        <f t="shared" si="1"/>
        <v>2</v>
      </c>
      <c r="B54" s="14">
        <v>72.0</v>
      </c>
      <c r="K54" s="14">
        <v>1.0</v>
      </c>
      <c r="L54" s="14">
        <v>1.0</v>
      </c>
    </row>
    <row r="55">
      <c r="A55">
        <f t="shared" si="1"/>
        <v>3</v>
      </c>
      <c r="B55" s="14">
        <v>73.0</v>
      </c>
      <c r="J55" s="14">
        <v>1.0</v>
      </c>
      <c r="K55" s="14">
        <v>1.0</v>
      </c>
      <c r="L55" s="14">
        <v>1.0</v>
      </c>
    </row>
    <row r="56">
      <c r="A56">
        <f t="shared" si="1"/>
        <v>4</v>
      </c>
      <c r="B56" s="14">
        <v>74.0</v>
      </c>
      <c r="I56" s="14">
        <v>1.0</v>
      </c>
      <c r="J56" s="14">
        <v>1.0</v>
      </c>
      <c r="K56" s="14">
        <v>1.0</v>
      </c>
      <c r="L56" s="14">
        <v>1.0</v>
      </c>
    </row>
    <row r="57">
      <c r="A57">
        <f t="shared" si="1"/>
        <v>5</v>
      </c>
      <c r="B57" s="14">
        <v>75.0</v>
      </c>
      <c r="I57" s="14">
        <v>1.0</v>
      </c>
      <c r="J57" s="14">
        <v>1.0</v>
      </c>
      <c r="K57" s="14">
        <v>1.0</v>
      </c>
      <c r="L57" s="14">
        <v>2.0</v>
      </c>
    </row>
    <row r="58">
      <c r="A58">
        <f t="shared" si="1"/>
        <v>6</v>
      </c>
      <c r="B58" s="14">
        <v>76.0</v>
      </c>
      <c r="I58" s="14">
        <v>1.0</v>
      </c>
      <c r="J58" s="14">
        <v>1.0</v>
      </c>
      <c r="K58" s="14">
        <v>2.0</v>
      </c>
      <c r="L58" s="14">
        <v>2.0</v>
      </c>
    </row>
    <row r="59">
      <c r="A59">
        <f t="shared" si="1"/>
        <v>0</v>
      </c>
      <c r="B59" s="154">
        <v>77.0</v>
      </c>
    </row>
    <row r="60">
      <c r="A60">
        <f t="shared" si="1"/>
        <v>1</v>
      </c>
      <c r="B60" s="14">
        <v>78.0</v>
      </c>
      <c r="L60" s="14"/>
      <c r="M60" s="14">
        <v>1.0</v>
      </c>
    </row>
    <row r="61">
      <c r="A61">
        <f t="shared" si="1"/>
        <v>2</v>
      </c>
      <c r="B61" s="14">
        <v>79.0</v>
      </c>
      <c r="L61" s="14">
        <v>1.0</v>
      </c>
      <c r="M61" s="14">
        <v>1.0</v>
      </c>
    </row>
    <row r="62">
      <c r="A62">
        <f t="shared" si="1"/>
        <v>3</v>
      </c>
      <c r="B62" s="14">
        <v>80.0</v>
      </c>
      <c r="K62" s="14">
        <v>1.0</v>
      </c>
      <c r="L62" s="14">
        <v>1.0</v>
      </c>
      <c r="M62" s="14">
        <v>1.0</v>
      </c>
    </row>
    <row r="63">
      <c r="A63">
        <f t="shared" si="1"/>
        <v>4</v>
      </c>
      <c r="B63" s="14">
        <v>81.0</v>
      </c>
      <c r="J63" s="14">
        <v>1.0</v>
      </c>
      <c r="K63" s="14">
        <v>1.0</v>
      </c>
      <c r="L63" s="14">
        <v>1.0</v>
      </c>
      <c r="M63" s="14">
        <v>1.0</v>
      </c>
    </row>
    <row r="64">
      <c r="A64">
        <f t="shared" si="1"/>
        <v>5</v>
      </c>
      <c r="B64" s="14">
        <v>82.0</v>
      </c>
      <c r="I64" s="14">
        <v>1.0</v>
      </c>
      <c r="J64" s="14">
        <v>1.0</v>
      </c>
      <c r="K64" s="14">
        <v>1.0</v>
      </c>
      <c r="L64" s="14">
        <v>1.0</v>
      </c>
      <c r="M64" s="14">
        <v>1.0</v>
      </c>
    </row>
    <row r="65">
      <c r="A65">
        <f t="shared" si="1"/>
        <v>6</v>
      </c>
      <c r="B65" s="14">
        <v>83.0</v>
      </c>
      <c r="I65" s="14">
        <v>1.0</v>
      </c>
      <c r="J65" s="14">
        <v>1.0</v>
      </c>
      <c r="K65" s="14">
        <v>1.0</v>
      </c>
      <c r="L65" s="14">
        <v>1.0</v>
      </c>
      <c r="M65" s="14">
        <v>2.0</v>
      </c>
    </row>
    <row r="66">
      <c r="A66">
        <f t="shared" si="1"/>
        <v>0</v>
      </c>
      <c r="B66" s="154">
        <v>84.0</v>
      </c>
    </row>
    <row r="67">
      <c r="A67">
        <f t="shared" si="1"/>
        <v>1</v>
      </c>
      <c r="B67" s="14">
        <v>85.0</v>
      </c>
      <c r="M67" s="14"/>
      <c r="N67" s="14">
        <v>1.0</v>
      </c>
    </row>
    <row r="68">
      <c r="A68">
        <f t="shared" si="1"/>
        <v>2</v>
      </c>
      <c r="B68" s="14">
        <v>86.0</v>
      </c>
      <c r="M68" s="14"/>
      <c r="N68" s="14">
        <v>2.0</v>
      </c>
    </row>
    <row r="69">
      <c r="A69">
        <f t="shared" si="1"/>
        <v>3</v>
      </c>
      <c r="B69" s="14">
        <v>87.0</v>
      </c>
      <c r="L69" s="14">
        <v>1.0</v>
      </c>
      <c r="M69" s="14">
        <v>1.0</v>
      </c>
      <c r="N69" s="14">
        <v>1.0</v>
      </c>
    </row>
    <row r="70">
      <c r="A70">
        <f t="shared" si="1"/>
        <v>4</v>
      </c>
      <c r="B70" s="14">
        <v>88.0</v>
      </c>
      <c r="K70" s="14">
        <v>1.0</v>
      </c>
      <c r="L70" s="14">
        <v>1.0</v>
      </c>
      <c r="M70" s="14">
        <v>1.0</v>
      </c>
      <c r="N70" s="14">
        <v>1.0</v>
      </c>
    </row>
    <row r="71">
      <c r="A71">
        <f t="shared" si="1"/>
        <v>5</v>
      </c>
      <c r="B71" s="14">
        <v>89.0</v>
      </c>
      <c r="I71" s="14">
        <v>1.0</v>
      </c>
      <c r="J71" s="14">
        <v>1.0</v>
      </c>
      <c r="K71" s="14">
        <v>1.0</v>
      </c>
      <c r="L71" s="14">
        <v>1.0</v>
      </c>
      <c r="M71" s="14">
        <v>1.0</v>
      </c>
      <c r="N71" s="14"/>
    </row>
    <row r="72">
      <c r="A72">
        <f t="shared" si="1"/>
        <v>6</v>
      </c>
      <c r="B72" s="14">
        <v>90.0</v>
      </c>
      <c r="I72" s="14">
        <v>1.0</v>
      </c>
      <c r="J72" s="14">
        <v>1.0</v>
      </c>
      <c r="K72" s="14">
        <v>1.0</v>
      </c>
      <c r="L72" s="14">
        <v>1.0</v>
      </c>
      <c r="M72" s="14">
        <v>1.0</v>
      </c>
      <c r="N72" s="14">
        <v>1.0</v>
      </c>
    </row>
    <row r="73">
      <c r="A73">
        <f t="shared" si="1"/>
        <v>0</v>
      </c>
      <c r="B73" s="154">
        <v>91.0</v>
      </c>
    </row>
    <row r="74">
      <c r="A74">
        <f t="shared" si="1"/>
        <v>1</v>
      </c>
      <c r="B74" s="14">
        <v>92.0</v>
      </c>
      <c r="O74" s="14">
        <v>1.0</v>
      </c>
    </row>
    <row r="75">
      <c r="A75">
        <f t="shared" si="1"/>
        <v>2</v>
      </c>
      <c r="B75" s="14">
        <v>93.0</v>
      </c>
      <c r="N75" s="14">
        <v>1.0</v>
      </c>
      <c r="O75" s="14">
        <v>1.0</v>
      </c>
    </row>
    <row r="76">
      <c r="A76">
        <f t="shared" si="1"/>
        <v>3</v>
      </c>
      <c r="B76" s="14">
        <v>94.0</v>
      </c>
      <c r="N76" s="14">
        <v>1.0</v>
      </c>
      <c r="O76" s="14">
        <v>2.0</v>
      </c>
    </row>
    <row r="77">
      <c r="A77">
        <f t="shared" si="1"/>
        <v>4</v>
      </c>
      <c r="B77" s="14">
        <v>95.0</v>
      </c>
      <c r="N77" s="14">
        <v>2.0</v>
      </c>
      <c r="O77" s="14">
        <v>2.0</v>
      </c>
    </row>
    <row r="78">
      <c r="A78">
        <f t="shared" si="1"/>
        <v>5</v>
      </c>
      <c r="B78" s="14">
        <v>96.0</v>
      </c>
      <c r="I78" s="14"/>
      <c r="J78" s="14"/>
      <c r="K78" s="14"/>
      <c r="L78" s="14"/>
      <c r="M78" s="14">
        <v>1.0</v>
      </c>
      <c r="N78" s="14">
        <v>2.0</v>
      </c>
      <c r="O78" s="14">
        <v>2.0</v>
      </c>
    </row>
    <row r="79">
      <c r="A79">
        <f t="shared" si="1"/>
        <v>6</v>
      </c>
      <c r="B79" s="14">
        <v>97.0</v>
      </c>
      <c r="J79" s="14"/>
      <c r="K79" s="14"/>
      <c r="L79" s="14">
        <v>1.0</v>
      </c>
      <c r="M79" s="14">
        <v>1.0</v>
      </c>
      <c r="N79" s="14">
        <v>2.0</v>
      </c>
      <c r="O79" s="14">
        <v>2.0</v>
      </c>
    </row>
    <row r="80">
      <c r="A80">
        <f t="shared" si="1"/>
        <v>0</v>
      </c>
      <c r="B80" s="154">
        <v>98.0</v>
      </c>
    </row>
    <row r="81">
      <c r="A81">
        <f t="shared" si="1"/>
        <v>1</v>
      </c>
      <c r="B81" s="14">
        <v>99.0</v>
      </c>
      <c r="P81" s="14">
        <v>1.0</v>
      </c>
    </row>
    <row r="82">
      <c r="A82">
        <f t="shared" si="1"/>
        <v>2</v>
      </c>
      <c r="B82" s="14">
        <v>100.0</v>
      </c>
      <c r="O82" s="14">
        <v>1.0</v>
      </c>
      <c r="P82" s="14">
        <v>1.0</v>
      </c>
    </row>
    <row r="83">
      <c r="A83">
        <f t="shared" si="1"/>
        <v>3</v>
      </c>
      <c r="B83" s="14">
        <v>101.0</v>
      </c>
      <c r="N83" s="14">
        <v>1.0</v>
      </c>
      <c r="O83" s="14">
        <v>1.0</v>
      </c>
      <c r="P83" s="14">
        <v>1.0</v>
      </c>
    </row>
    <row r="84">
      <c r="A84">
        <f t="shared" si="1"/>
        <v>4</v>
      </c>
      <c r="B84" s="14">
        <v>102.0</v>
      </c>
      <c r="N84" s="14">
        <v>1.0</v>
      </c>
      <c r="O84" s="14">
        <v>1.0</v>
      </c>
      <c r="P84" s="14">
        <v>2.0</v>
      </c>
    </row>
    <row r="85">
      <c r="A85">
        <f t="shared" si="1"/>
        <v>5</v>
      </c>
      <c r="B85" s="14">
        <v>103.0</v>
      </c>
      <c r="N85" s="14">
        <v>1.0</v>
      </c>
      <c r="O85" s="14">
        <v>2.0</v>
      </c>
      <c r="P85" s="14">
        <v>2.0</v>
      </c>
    </row>
    <row r="86">
      <c r="A86">
        <f t="shared" si="1"/>
        <v>6</v>
      </c>
      <c r="B86" s="14">
        <v>104.0</v>
      </c>
      <c r="N86" s="14">
        <v>2.0</v>
      </c>
      <c r="O86" s="14">
        <v>2.0</v>
      </c>
      <c r="P86" s="14">
        <v>2.0</v>
      </c>
    </row>
    <row r="87">
      <c r="A87">
        <f t="shared" si="1"/>
        <v>0</v>
      </c>
      <c r="B87" s="154">
        <v>105.0</v>
      </c>
    </row>
    <row r="88">
      <c r="A88">
        <f t="shared" si="1"/>
        <v>1</v>
      </c>
      <c r="B88" s="14">
        <v>106.0</v>
      </c>
      <c r="P88" s="14"/>
      <c r="Q88" s="14">
        <v>1.0</v>
      </c>
    </row>
    <row r="89">
      <c r="A89">
        <f t="shared" si="1"/>
        <v>2</v>
      </c>
      <c r="B89" s="14">
        <v>107.0</v>
      </c>
      <c r="P89" s="14">
        <v>1.0</v>
      </c>
      <c r="Q89" s="14">
        <v>1.0</v>
      </c>
    </row>
    <row r="90">
      <c r="A90">
        <f t="shared" si="1"/>
        <v>3</v>
      </c>
      <c r="B90" s="14">
        <v>108.0</v>
      </c>
      <c r="O90" s="14">
        <v>1.0</v>
      </c>
      <c r="P90" s="14">
        <v>1.0</v>
      </c>
      <c r="Q90" s="14">
        <v>1.0</v>
      </c>
    </row>
    <row r="91">
      <c r="A91">
        <f t="shared" si="1"/>
        <v>4</v>
      </c>
      <c r="B91" s="14">
        <v>109.0</v>
      </c>
      <c r="N91" s="14">
        <v>1.0</v>
      </c>
      <c r="O91" s="14">
        <v>1.0</v>
      </c>
      <c r="P91" s="14">
        <v>1.0</v>
      </c>
      <c r="Q91" s="14">
        <v>1.0</v>
      </c>
    </row>
    <row r="92">
      <c r="A92">
        <f t="shared" si="1"/>
        <v>5</v>
      </c>
      <c r="B92" s="14">
        <v>110.0</v>
      </c>
      <c r="N92" s="14">
        <v>1.0</v>
      </c>
      <c r="O92" s="14">
        <v>1.0</v>
      </c>
      <c r="P92" s="14">
        <v>1.0</v>
      </c>
      <c r="Q92" s="14">
        <v>2.0</v>
      </c>
    </row>
    <row r="93">
      <c r="A93">
        <f t="shared" si="1"/>
        <v>6</v>
      </c>
      <c r="B93" s="14">
        <v>111.0</v>
      </c>
      <c r="N93" s="14">
        <v>1.0</v>
      </c>
      <c r="O93" s="14">
        <v>1.0</v>
      </c>
      <c r="P93" s="14">
        <v>2.0</v>
      </c>
      <c r="Q93" s="14">
        <v>2.0</v>
      </c>
    </row>
    <row r="94">
      <c r="A94">
        <f t="shared" si="1"/>
        <v>0</v>
      </c>
      <c r="B94" s="154">
        <v>112.0</v>
      </c>
    </row>
    <row r="95">
      <c r="A95">
        <f t="shared" si="1"/>
        <v>1</v>
      </c>
      <c r="B95" s="14">
        <v>113.0</v>
      </c>
      <c r="Q95" s="14"/>
      <c r="R95" s="14">
        <v>1.0</v>
      </c>
    </row>
    <row r="96">
      <c r="A96">
        <f t="shared" si="1"/>
        <v>2</v>
      </c>
      <c r="B96" s="14">
        <v>114.0</v>
      </c>
      <c r="Q96" s="14">
        <v>1.0</v>
      </c>
      <c r="R96" s="14">
        <v>1.0</v>
      </c>
    </row>
    <row r="97">
      <c r="A97">
        <f t="shared" si="1"/>
        <v>3</v>
      </c>
      <c r="B97" s="14">
        <v>115.0</v>
      </c>
      <c r="P97" s="14">
        <v>1.0</v>
      </c>
      <c r="Q97" s="14">
        <v>1.0</v>
      </c>
      <c r="R97" s="14">
        <v>1.0</v>
      </c>
    </row>
    <row r="98">
      <c r="A98">
        <f t="shared" si="1"/>
        <v>4</v>
      </c>
      <c r="B98" s="14">
        <v>116.0</v>
      </c>
      <c r="O98" s="14">
        <v>1.0</v>
      </c>
      <c r="P98" s="14">
        <v>1.0</v>
      </c>
      <c r="Q98" s="14">
        <v>1.0</v>
      </c>
      <c r="R98" s="14">
        <v>1.0</v>
      </c>
    </row>
    <row r="99">
      <c r="A99">
        <f t="shared" si="1"/>
        <v>5</v>
      </c>
      <c r="B99" s="14">
        <v>117.0</v>
      </c>
      <c r="N99" s="14">
        <v>1.0</v>
      </c>
      <c r="O99" s="14">
        <v>1.0</v>
      </c>
      <c r="P99" s="14">
        <v>1.0</v>
      </c>
      <c r="Q99" s="14">
        <v>1.0</v>
      </c>
      <c r="R99" s="14">
        <v>1.0</v>
      </c>
    </row>
    <row r="100">
      <c r="A100">
        <f t="shared" si="1"/>
        <v>6</v>
      </c>
      <c r="B100" s="14">
        <v>118.0</v>
      </c>
      <c r="M100" s="14"/>
      <c r="N100" s="14">
        <v>1.0</v>
      </c>
      <c r="O100" s="14">
        <v>1.0</v>
      </c>
      <c r="P100" s="14">
        <v>1.0</v>
      </c>
      <c r="Q100" s="14">
        <v>1.0</v>
      </c>
      <c r="R100" s="14">
        <v>2.0</v>
      </c>
    </row>
    <row r="101">
      <c r="A101">
        <f t="shared" si="1"/>
        <v>0</v>
      </c>
      <c r="B101" s="154">
        <v>119.0</v>
      </c>
    </row>
    <row r="102">
      <c r="A102">
        <f t="shared" si="1"/>
        <v>1</v>
      </c>
      <c r="B102" s="14">
        <v>120.0</v>
      </c>
      <c r="R102" s="14"/>
      <c r="S102" s="14">
        <v>1.0</v>
      </c>
    </row>
    <row r="103">
      <c r="A103">
        <f t="shared" si="1"/>
        <v>2</v>
      </c>
      <c r="B103" s="14">
        <v>121.0</v>
      </c>
      <c r="R103" s="14">
        <v>1.0</v>
      </c>
      <c r="S103" s="14">
        <v>1.0</v>
      </c>
    </row>
    <row r="104">
      <c r="A104">
        <f t="shared" si="1"/>
        <v>3</v>
      </c>
      <c r="B104" s="14">
        <v>122.0</v>
      </c>
      <c r="Q104" s="14">
        <v>1.0</v>
      </c>
      <c r="R104" s="14">
        <v>1.0</v>
      </c>
      <c r="S104" s="14">
        <v>1.0</v>
      </c>
    </row>
    <row r="105">
      <c r="A105">
        <f t="shared" si="1"/>
        <v>4</v>
      </c>
      <c r="B105" s="14">
        <v>123.0</v>
      </c>
      <c r="P105" s="14">
        <v>1.0</v>
      </c>
      <c r="Q105" s="14">
        <v>1.0</v>
      </c>
      <c r="R105" s="14">
        <v>1.0</v>
      </c>
      <c r="S105" s="14">
        <v>1.0</v>
      </c>
    </row>
    <row r="106">
      <c r="A106">
        <f t="shared" si="1"/>
        <v>5</v>
      </c>
      <c r="B106" s="14">
        <v>124.0</v>
      </c>
      <c r="O106" s="14">
        <v>1.0</v>
      </c>
      <c r="P106" s="14">
        <v>1.0</v>
      </c>
      <c r="Q106" s="14">
        <v>1.0</v>
      </c>
      <c r="R106" s="14">
        <v>1.0</v>
      </c>
      <c r="S106" s="14">
        <v>1.0</v>
      </c>
    </row>
    <row r="107">
      <c r="A107">
        <f t="shared" si="1"/>
        <v>6</v>
      </c>
      <c r="B107" s="14">
        <v>125.0</v>
      </c>
      <c r="N107" s="14">
        <v>1.0</v>
      </c>
      <c r="O107" s="14">
        <v>1.0</v>
      </c>
      <c r="P107" s="14">
        <v>1.0</v>
      </c>
      <c r="Q107" s="14">
        <v>1.0</v>
      </c>
      <c r="R107" s="14">
        <v>1.0</v>
      </c>
      <c r="S107" s="14">
        <v>1.0</v>
      </c>
    </row>
    <row r="108">
      <c r="A108">
        <f t="shared" si="1"/>
        <v>0</v>
      </c>
      <c r="B108" s="154">
        <v>126.0</v>
      </c>
    </row>
    <row r="109">
      <c r="A109">
        <f t="shared" si="1"/>
        <v>0</v>
      </c>
      <c r="B109" s="14">
        <v>127.0</v>
      </c>
    </row>
    <row r="110">
      <c r="A110">
        <f t="shared" si="1"/>
        <v>0</v>
      </c>
      <c r="B110" s="14">
        <v>128.0</v>
      </c>
    </row>
  </sheetData>
  <mergeCells count="3">
    <mergeCell ref="B1:M1"/>
    <mergeCell ref="C2:M2"/>
    <mergeCell ref="K9:W10"/>
  </mergeCells>
  <drawing r:id="rId2"/>
  <legacyDrawing r:id="rId3"/>
</worksheet>
</file>