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ings" sheetId="1" r:id="rId4"/>
    <sheet state="visible" name="Seating for next Season" sheetId="2" r:id="rId5"/>
    <sheet state="visible" name="Schedule" sheetId="3" r:id="rId6"/>
    <sheet state="visible" name="Rules" sheetId="4" r:id="rId7"/>
    <sheet state="visible" name="Registered players" sheetId="5" r:id="rId8"/>
  </sheets>
  <definedNames/>
  <calcPr/>
</workbook>
</file>

<file path=xl/sharedStrings.xml><?xml version="1.0" encoding="utf-8"?>
<sst xmlns="http://schemas.openxmlformats.org/spreadsheetml/2006/main" count="777" uniqueCount="211">
  <si>
    <t>Season 7</t>
  </si>
  <si>
    <t>DIVISION 1</t>
  </si>
  <si>
    <t>Season 6</t>
  </si>
  <si>
    <t>TOURNAMENT RULES</t>
  </si>
  <si>
    <t>Seating</t>
  </si>
  <si>
    <t xml:space="preserve">       Tiebreakers  </t>
  </si>
  <si>
    <t>Division</t>
  </si>
  <si>
    <t>Place</t>
  </si>
  <si>
    <t>Points</t>
  </si>
  <si>
    <t>Lg 1-1</t>
  </si>
  <si>
    <t>(see "Player Responsibility" below to see what's required)</t>
  </si>
  <si>
    <t>Pts</t>
  </si>
  <si>
    <t>LeonC</t>
  </si>
  <si>
    <t>Avg</t>
  </si>
  <si>
    <t>4p</t>
  </si>
  <si>
    <t>Tournament structure</t>
  </si>
  <si>
    <t>3p</t>
  </si>
  <si>
    <t>(Adopted from TM Tours)</t>
  </si>
  <si>
    <t>AaronGreen</t>
  </si>
  <si>
    <t>1st</t>
  </si>
  <si>
    <t>qhung49</t>
  </si>
  <si>
    <t>2nd</t>
  </si>
  <si>
    <t>•The tournament consists of divisions and each division contains a number of leagues.</t>
  </si>
  <si>
    <t>3rd</t>
  </si>
  <si>
    <t>4th</t>
  </si>
  <si>
    <t>pajada</t>
  </si>
  <si>
    <t>takusto_ii</t>
  </si>
  <si>
    <t>•There is one league in the first (top) division, two in the second, increasing by the fibonacci sequence (1,2,3,5,8,13,etc).</t>
  </si>
  <si>
    <t>TryAndStopUs</t>
  </si>
  <si>
    <t>•Each league normally consists of seven players. Some of the lowest leagues may contain eight or nine, if the number of signed up players for a season is not divisible by seven.</t>
  </si>
  <si>
    <t>promoted</t>
  </si>
  <si>
    <t>ChipsAhoya</t>
  </si>
  <si>
    <t>League play</t>
  </si>
  <si>
    <t>PhiTrigger</t>
  </si>
  <si>
    <t>•Each player will play four 4-player games and three 3-player games (7 total games), over four months (3 seasons per year)</t>
  </si>
  <si>
    <t>•Players start exactly one game every Sunday for seven consecutive weeks.</t>
  </si>
  <si>
    <t>•Every player in a league will meet everyone else exactly three times (twice in 4-player games; once in 3-player games)</t>
  </si>
  <si>
    <t>a440</t>
  </si>
  <si>
    <t>sbauer9</t>
  </si>
  <si>
    <t>•Note: in eight and nine player leagues it is impossible to meet eveyrone 3 times. Each player still plays 7 games, but over 8 weeks.</t>
  </si>
  <si>
    <t>DrRerNate</t>
  </si>
  <si>
    <t>BlixLT</t>
  </si>
  <si>
    <t>Scoring</t>
  </si>
  <si>
    <t>**  LEAGUE 1-1  **</t>
  </si>
  <si>
    <t>The scoring depends solely on final positions in the games. Each position scores the following amount of points:</t>
  </si>
  <si>
    <t>invalidName</t>
  </si>
  <si>
    <t>4-player</t>
  </si>
  <si>
    <t>jamiu5</t>
  </si>
  <si>
    <t>3-player</t>
  </si>
  <si>
    <t>GregP</t>
  </si>
  <si>
    <t>1st = 6 points</t>
  </si>
  <si>
    <t>1st = 5 points</t>
  </si>
  <si>
    <t>2nd = 3 points</t>
  </si>
  <si>
    <t>Aardwolf44</t>
  </si>
  <si>
    <t>2nd = 2 points</t>
  </si>
  <si>
    <t>3rd = 1 point</t>
  </si>
  <si>
    <t>3rd = 0 points</t>
  </si>
  <si>
    <t>4th = 0 points</t>
  </si>
  <si>
    <t>BillyPilgrim</t>
  </si>
  <si>
    <t>•If several players finish in the same position in a game, they split the points for the positions between them.</t>
  </si>
  <si>
    <t>Octavian</t>
  </si>
  <si>
    <t>Example: If two players share the second position (4p), they will both get 2 points.</t>
  </si>
  <si>
    <t>Game Rules</t>
  </si>
  <si>
    <t>Vienneau</t>
  </si>
  <si>
    <t>•All games to be played in the official TTA app</t>
  </si>
  <si>
    <t>promoted - wild card winner</t>
  </si>
  <si>
    <t>hihihiji</t>
  </si>
  <si>
    <t>•Digital rules (not table top)</t>
  </si>
  <si>
    <t>relegated</t>
  </si>
  <si>
    <t>•Clock: default async (24 hr per move)</t>
  </si>
  <si>
    <t>frotes</t>
  </si>
  <si>
    <t>Wartin</t>
  </si>
  <si>
    <t>Promotion / Relegation</t>
  </si>
  <si>
    <t>•The general idea is that players who finish first in their leagues will get promoted while players finishing 6th or 7th in their leagues will get relegated. The promotion / relegation algorithm also takes the following into account:</t>
  </si>
  <si>
    <t>wild card second place</t>
  </si>
  <si>
    <t>JCleek</t>
  </si>
  <si>
    <t>wild card third place</t>
  </si>
  <si>
    <t>•Players who drop out. Players who do not sign up for the next season will leave empty slots in the league system.</t>
  </si>
  <si>
    <t>Fane</t>
  </si>
  <si>
    <t>petrau77</t>
  </si>
  <si>
    <t>•Returning players. A "returning player" is a player who is signed up for the next season and has played in a previous season but not in the last one.</t>
  </si>
  <si>
    <t>JeroenSchreurs</t>
  </si>
  <si>
    <t>•Empty slots will be filled by returning players. A returning player my fall in division if no empty slots are available in the returninig player's most recent division. A returning player may not, however, fill an empty slot higher than the divison the player finished in on the last season he/she played. If an empty slot can not be filled by a returning player, it will be filled by moving all lower ranked players upwards.</t>
  </si>
  <si>
    <t>eNroamer</t>
  </si>
  <si>
    <t>Woodenman</t>
  </si>
  <si>
    <t>albinsix</t>
  </si>
  <si>
    <t>•Wild Card (WC): Some divisions will have one or more wild cards. These are players who finished 2nd in their division, but higher than other 2nds across their whole division. They are promoted to fill relegation spots in the above division.</t>
  </si>
  <si>
    <t>RolldUpTrips</t>
  </si>
  <si>
    <t>bzburnin</t>
  </si>
  <si>
    <t>•If small number of leagues in lowest division: add wild cards to fill relagation slots from next highest division with these rules:</t>
  </si>
  <si>
    <t>norkle</t>
  </si>
  <si>
    <t>Mejdzr</t>
  </si>
  <si>
    <t>venansula</t>
  </si>
  <si>
    <t>Jorrig</t>
  </si>
  <si>
    <t>MistWalker</t>
  </si>
  <si>
    <t>mindphaser</t>
  </si>
  <si>
    <r>
      <rPr/>
      <t xml:space="preserve">*a* Only give at most 1 </t>
    </r>
    <r>
      <rPr>
        <u/>
      </rPr>
      <t>more</t>
    </r>
    <r>
      <rPr/>
      <t xml:space="preserve"> promotion vs other leagues in div.</t>
    </r>
  </si>
  <si>
    <t>ranch99</t>
  </si>
  <si>
    <t>Arccos</t>
  </si>
  <si>
    <r>
      <rPr/>
      <t xml:space="preserve">*b* Never promote </t>
    </r>
    <r>
      <rPr>
        <u/>
      </rPr>
      <t>more than</t>
    </r>
    <r>
      <rPr/>
      <t> half of players from one league.</t>
    </r>
  </si>
  <si>
    <t>bcnoexceptions</t>
  </si>
  <si>
    <t>Player Responsibility</t>
  </si>
  <si>
    <t>JimmyLin</t>
  </si>
  <si>
    <t>GregoryD</t>
  </si>
  <si>
    <t>varro</t>
  </si>
  <si>
    <t>gm 1a</t>
  </si>
  <si>
    <t>ivantz</t>
  </si>
  <si>
    <t>Etherealz</t>
  </si>
  <si>
    <t>gm 2a</t>
  </si>
  <si>
    <t>(if needed to determine promotion/relegation)</t>
  </si>
  <si>
    <r>
      <rPr>
        <b/>
        <u/>
      </rPr>
      <t>Creating/joining games:</t>
    </r>
    <r>
      <rPr>
        <b/>
      </rPr>
      <t xml:space="preserve"> </t>
    </r>
    <r>
      <rPr/>
      <t xml:space="preserve">Every Sunday per the schedule, create your weekly game if </t>
    </r>
    <r>
      <rPr>
        <u/>
      </rPr>
      <t>you are in the top slot for that game on the schedule.</t>
    </r>
    <r>
      <rPr/>
      <t xml:space="preserve"> (ensure it has not already been created by someone else) OK for anyone to create the game, even a day early (e.g. if you are unavailable all day Sunday). </t>
    </r>
    <r>
      <rPr>
        <b/>
      </rPr>
      <t>Note:</t>
    </r>
    <r>
      <rPr/>
      <t xml:space="preserve"> Everyone is scheduled to create exactly one 4p game, and one 3p game. </t>
    </r>
  </si>
  <si>
    <t>Peaceminusone</t>
  </si>
  <si>
    <t>JFK2016</t>
  </si>
  <si>
    <t>gm 3a</t>
  </si>
  <si>
    <t>gm 4a</t>
  </si>
  <si>
    <t>Luitheone</t>
  </si>
  <si>
    <t>gm 5a</t>
  </si>
  <si>
    <t>nasing</t>
  </si>
  <si>
    <r>
      <rPr/>
      <t xml:space="preserve">•Label the game your League number (see </t>
    </r>
    <r>
      <rPr>
        <b/>
        <u/>
      </rPr>
      <t>Standings</t>
    </r>
    <r>
      <rPr/>
      <t xml:space="preserve">) and the game name from the </t>
    </r>
    <r>
      <rPr>
        <b/>
        <u/>
      </rPr>
      <t>Schedule</t>
    </r>
    <r>
      <rPr/>
      <t xml:space="preserve"> (e.g. Lg 3-1 gm 2a)</t>
    </r>
  </si>
  <si>
    <t>gm 6a</t>
  </si>
  <si>
    <t>brumynut</t>
  </si>
  <si>
    <t>gm 7a</t>
  </si>
  <si>
    <t>firstfloorfinest</t>
  </si>
  <si>
    <t>machine_elf</t>
  </si>
  <si>
    <t>megathong</t>
  </si>
  <si>
    <t>Thaddeus</t>
  </si>
  <si>
    <t>stanel</t>
  </si>
  <si>
    <t>1) Player who beats the other player more times wins.</t>
  </si>
  <si>
    <t>Irishdomer08</t>
  </si>
  <si>
    <t>•Reserve seats for other players (close 4th seat if 3p game)</t>
  </si>
  <si>
    <t>•Digital rules, default async, auto start.</t>
  </si>
  <si>
    <t>pollitis</t>
  </si>
  <si>
    <t>If game is already created, simply join it.</t>
  </si>
  <si>
    <t>funkenschlag</t>
  </si>
  <si>
    <t>Posting game results: Upon completion, winner must "share" the final score of the completed game on the pinned anouncement for the season. Admin will log the result in google sheets. Please refrain from adding other new comments ("replying" to a game result pic is OK). If you have a question, please start a new post on the FB page, or PM the admin (Pavel Ceska - Season 6).</t>
  </si>
  <si>
    <t>2) Divide player score by top score of each game, higher sum wins.</t>
  </si>
  <si>
    <t>SuwalaT</t>
  </si>
  <si>
    <t>Monik</t>
  </si>
  <si>
    <r>
      <rPr>
        <b/>
        <u/>
      </rPr>
      <t xml:space="preserve">User: </t>
    </r>
    <r>
      <rPr/>
      <t xml:space="preserve">May only have 1 account in the tournament per season. </t>
    </r>
  </si>
  <si>
    <t>theChony</t>
  </si>
  <si>
    <t>Hubcap4x4</t>
  </si>
  <si>
    <r>
      <rPr>
        <b/>
        <u/>
      </rPr>
      <t>Sportsmanship and Best play:</t>
    </r>
    <r>
      <rPr/>
      <t xml:space="preserve"> Simply, try to do well. But, of course, feel free to try new strategies/experiment. Do not purposefully lose to help someone else or for any other reason (e.g. no attacking others/resigning to help a friend, no declaring wars and then disbanding all military units). If you feel you will finish last, and don't want to try anymore, please resign.</t>
    </r>
  </si>
  <si>
    <t>jasdrakken</t>
  </si>
  <si>
    <t>3) Coin flip.</t>
  </si>
  <si>
    <t>rporrini</t>
  </si>
  <si>
    <r>
      <rPr>
        <b/>
        <u/>
      </rPr>
      <t>Strikes:</t>
    </r>
    <r>
      <rPr>
        <b val="0"/>
        <u/>
      </rPr>
      <t xml:space="preserve"> (note: strikes are hopefully rarely, or even never, given out. They are here to promote a fun, orderly, fair place for all to play)</t>
    </r>
  </si>
  <si>
    <t>•Strikes accumulate and are received when a penalty is given.</t>
  </si>
  <si>
    <t>•If 3 or more strikes are accumulated, player must sit out next season.</t>
  </si>
  <si>
    <t>•Sitting out 1 season will remove 1 strike from your total.</t>
  </si>
  <si>
    <t>Types of Strikes:</t>
  </si>
  <si>
    <t>•Failing to join a game by Tue (if it is brought to admin's attention on Monday, and the game is still in the queue on Tue, late player receives 1 strike. An additional strike is given for each subsequent day the game has not started.</t>
  </si>
  <si>
    <t>•3 strikes: if proven that player used more than 1 account in any given season</t>
  </si>
  <si>
    <t>•3 strikes: if proven that player was not adhering to the "Sportsmanship and Best play" standards.</t>
  </si>
  <si>
    <t>•1 strike: for running out of time, and therefore forfeiting a game. You also receive 0 pts in the standings for that game.</t>
  </si>
  <si>
    <t>•Strike: anything else the group votes to be counted as a strike, even if voted retroactively.</t>
  </si>
  <si>
    <t>For more than 2 players: include all players until one is eliminated. Start back at 1) with remaining players.</t>
  </si>
  <si>
    <t>DIVISION 2</t>
  </si>
  <si>
    <t>(1 Promotion per League)</t>
  </si>
  <si>
    <t>gm 1b</t>
  </si>
  <si>
    <t>gm 2b</t>
  </si>
  <si>
    <t>Lg 2-1</t>
  </si>
  <si>
    <t>gm 3b</t>
  </si>
  <si>
    <t>gm 4b</t>
  </si>
  <si>
    <t>gm 5b</t>
  </si>
  <si>
    <t>Lg 2-2</t>
  </si>
  <si>
    <t>gm 6b</t>
  </si>
  <si>
    <t>gm 7b</t>
  </si>
  <si>
    <t>**  LEAGUE 2-1  **</t>
  </si>
  <si>
    <t>DIVISION 3</t>
  </si>
  <si>
    <t>(1 Promotion per League + 1 Wild Card)</t>
  </si>
  <si>
    <t>Lg 3-1</t>
  </si>
  <si>
    <t>Lg 3-2</t>
  </si>
  <si>
    <t>Lg 3-3</t>
  </si>
  <si>
    <t>**  LEAGUE 2-2  **</t>
  </si>
  <si>
    <t>**  LEAGUE 3-1  **</t>
  </si>
  <si>
    <t>DIVISION 4</t>
  </si>
  <si>
    <t>(2 Promotions per League)</t>
  </si>
  <si>
    <t>Lg 4-1</t>
  </si>
  <si>
    <t>Lg 4-2</t>
  </si>
  <si>
    <t>Lg 4-3</t>
  </si>
  <si>
    <t>**  LEAGUE 3-2  **</t>
  </si>
  <si>
    <t>**  LEAGUE 3-3  **</t>
  </si>
  <si>
    <t>Sign up</t>
  </si>
  <si>
    <t>Seating score</t>
  </si>
  <si>
    <t>Rank</t>
  </si>
  <si>
    <t>Rand(0, 100)</t>
  </si>
  <si>
    <t>League</t>
  </si>
  <si>
    <t>yes</t>
  </si>
  <si>
    <t>**  LEAGUE 4-1  **</t>
  </si>
  <si>
    <t>JeremyBrokaw</t>
  </si>
  <si>
    <t>Robster</t>
  </si>
  <si>
    <t>&lt;empty slot&gt;</t>
  </si>
  <si>
    <t>lppl</t>
  </si>
  <si>
    <t>Dario5</t>
  </si>
  <si>
    <t>lleviadon</t>
  </si>
  <si>
    <t>Circadia</t>
  </si>
  <si>
    <t>Sjir</t>
  </si>
  <si>
    <t>Thomas91</t>
  </si>
  <si>
    <t>Dreadpiratejosh</t>
  </si>
  <si>
    <t>Demianv</t>
  </si>
  <si>
    <t>Krisztciii</t>
  </si>
  <si>
    <t>Greenilocks</t>
  </si>
  <si>
    <t>returning player</t>
  </si>
  <si>
    <t>division 4</t>
  </si>
  <si>
    <t>newcomer</t>
  </si>
  <si>
    <t>**  LEAGUE 4-2  **</t>
  </si>
  <si>
    <t>Total</t>
  </si>
  <si>
    <t>**  LEAGUE 4-3  **</t>
  </si>
  <si>
    <t>gm 1c</t>
  </si>
  <si>
    <t>gm 2c</t>
  </si>
  <si>
    <t>Wild card match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</si>
</sst>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d&quot;-&quot;mmm&quot;-&quot;yyyy"/>
    <numFmt numFmtId="166" formatCode="#,##0.0"/>
    <numFmt numFmtId="167" formatCode="d-mmm-yyyy"/>
  </numFmts>
  <fonts count="22">
    <font>
      <sz val="10.0"/>
      <color rgb="FF000000"/>
      <name val="Arial"/>
    </font>
    <font>
      <b/>
    </font>
    <font>
      <b/>
      <u/>
      <sz val="12.0"/>
    </font>
    <font>
      <b/>
      <u/>
      <sz val="18.0"/>
    </font>
    <font>
      <b/>
      <sz val="11.0"/>
    </font>
    <font/>
    <font>
      <b/>
      <u/>
      <sz val="12.0"/>
      <color rgb="FFFFFFFF"/>
    </font>
    <font>
      <b/>
      <name val="Arial"/>
    </font>
    <font>
      <u/>
      <sz val="14.0"/>
    </font>
    <font>
      <b/>
      <sz val="10.0"/>
    </font>
    <font>
      <color rgb="FF999999"/>
    </font>
    <font>
      <u/>
    </font>
    <font>
      <u/>
      <sz val="14.0"/>
    </font>
    <font>
      <name val="Arial"/>
    </font>
    <font>
      <u/>
      <sz val="14.0"/>
    </font>
    <font>
      <color rgb="FF999999"/>
      <name val="Arial"/>
    </font>
    <font>
      <color rgb="FF000000"/>
      <name val="Roboto"/>
    </font>
    <font>
      <b/>
      <u/>
    </font>
    <font>
      <b/>
      <sz val="9.0"/>
    </font>
    <font>
      <b/>
      <u/>
      <sz val="12.0"/>
    </font>
    <font>
      <b/>
      <u/>
      <sz val="12.0"/>
      <color rgb="FFFFFFFF"/>
    </font>
    <font>
      <strike/>
      <name val="Arial"/>
    </font>
  </fonts>
  <fills count="12">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434343"/>
        <bgColor rgb="FF43434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B6D7A8"/>
        <bgColor rgb="FFB6D7A8"/>
      </patternFill>
    </fill>
    <fill>
      <patternFill patternType="solid">
        <fgColor rgb="FF9FC5E8"/>
        <bgColor rgb="FF9FC5E8"/>
      </patternFill>
    </fill>
    <fill>
      <patternFill patternType="solid">
        <fgColor rgb="FFEA9999"/>
        <bgColor rgb="FFEA9999"/>
      </patternFill>
    </fill>
    <fill>
      <patternFill patternType="solid">
        <fgColor rgb="FFCFE2F3"/>
        <bgColor rgb="FFCFE2F3"/>
      </patternFill>
    </fill>
  </fills>
  <borders count="17">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right/>
    </border>
    <border>
      <right style="thin">
        <color rgb="FF000000"/>
      </right>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0" fontId="1" numFmtId="0" xfId="0" applyFont="1"/>
    <xf borderId="0" fillId="3" fontId="1" numFmtId="0" xfId="0" applyAlignment="1" applyFill="1" applyFont="1">
      <alignment horizontal="right"/>
    </xf>
    <xf borderId="0" fillId="3" fontId="3" numFmtId="0" xfId="0" applyAlignment="1" applyFill="1" applyFont="1">
      <alignment readingOrder="0"/>
    </xf>
    <xf borderId="0" fillId="2" fontId="4" numFmtId="0" xfId="0" applyAlignment="1" applyFill="1" applyFont="1">
      <alignment readingOrder="0"/>
    </xf>
    <xf borderId="0" fillId="3" fontId="5" numFmtId="0" xfId="0" applyFill="1" applyFont="1"/>
    <xf borderId="1" fillId="4" fontId="6" numFmtId="0" xfId="0" applyAlignment="1" applyBorder="1" applyFill="1" applyFont="1">
      <alignment horizontal="center" readingOrder="0"/>
    </xf>
    <xf borderId="0" fillId="0" fontId="5" numFmtId="0" xfId="0" applyAlignment="1" applyFont="1">
      <alignment horizontal="center" readingOrder="0"/>
    </xf>
    <xf borderId="0" fillId="5" fontId="1" numFmtId="0" xfId="0" applyAlignment="1" applyFill="1" applyFont="1">
      <alignment readingOrder="0"/>
    </xf>
    <xf borderId="2" fillId="5" fontId="1" numFmtId="0" xfId="0" applyAlignment="1" applyBorder="1" applyFill="1" applyFont="1">
      <alignment horizontal="center" readingOrder="0"/>
    </xf>
    <xf borderId="0" fillId="0" fontId="5" numFmtId="0" xfId="0" applyFont="1"/>
    <xf borderId="0" fillId="5" fontId="5" numFmtId="0" xfId="0" applyFill="1" applyFont="1"/>
    <xf borderId="1" fillId="5" fontId="7" numFmtId="0" xfId="0" applyAlignment="1" applyBorder="1" applyFill="1" applyFont="1">
      <alignment horizontal="center" vertical="bottom"/>
    </xf>
    <xf borderId="0" fillId="3" fontId="8" numFmtId="0" xfId="0" applyAlignment="1" applyFill="1" applyFont="1">
      <alignment readingOrder="0"/>
    </xf>
    <xf borderId="0" fillId="0" fontId="5" numFmtId="0" xfId="0" applyAlignment="1" applyFont="1">
      <alignment horizontal="center"/>
    </xf>
    <xf borderId="3" fillId="5" fontId="7" numFmtId="0" xfId="0" applyAlignment="1" applyBorder="1" applyFill="1" applyFont="1">
      <alignment horizontal="center" vertical="bottom"/>
    </xf>
    <xf borderId="0" fillId="3" fontId="5" numFmtId="0" xfId="0" applyAlignment="1" applyFill="1" applyFont="1">
      <alignment readingOrder="0"/>
    </xf>
    <xf borderId="4" fillId="6" fontId="9" numFmtId="0" xfId="0" applyAlignment="1" applyBorder="1" applyFill="1" applyFont="1">
      <alignment horizontal="center" readingOrder="0"/>
    </xf>
    <xf borderId="3" fillId="6" fontId="9" numFmtId="0" xfId="0" applyAlignment="1" applyBorder="1" applyFill="1" applyFont="1">
      <alignment horizontal="center" readingOrder="0"/>
    </xf>
    <xf borderId="0" fillId="3" fontId="5" numFmtId="0" xfId="0" applyAlignment="1" applyFill="1" applyFont="1">
      <alignment readingOrder="0" shrinkToFit="0" vertical="center" wrapText="1"/>
    </xf>
    <xf borderId="1" fillId="7" fontId="9" numFmtId="0" xfId="0" applyAlignment="1" applyBorder="1" applyFill="1" applyFont="1">
      <alignment horizontal="center" readingOrder="0"/>
    </xf>
    <xf borderId="4" fillId="7" fontId="9" numFmtId="0" xfId="0" applyAlignment="1" applyBorder="1" applyFill="1" applyFont="1">
      <alignment horizontal="center" readingOrder="0"/>
    </xf>
    <xf borderId="0" fillId="0" fontId="5" numFmtId="0" xfId="0" applyAlignment="1" applyFont="1">
      <alignment readingOrder="0"/>
    </xf>
    <xf borderId="3" fillId="7" fontId="9" numFmtId="0" xfId="0" applyAlignment="1" applyBorder="1" applyFill="1" applyFont="1">
      <alignment horizontal="center" readingOrder="0"/>
    </xf>
    <xf borderId="0" fillId="0" fontId="10" numFmtId="0" xfId="0" applyAlignment="1" applyFont="1">
      <alignment readingOrder="0"/>
    </xf>
    <xf borderId="5" fillId="0" fontId="5" numFmtId="0" xfId="0" applyAlignment="1" applyBorder="1" applyFont="1">
      <alignment horizontal="center" readingOrder="0"/>
    </xf>
    <xf borderId="6" fillId="8" fontId="5" numFmtId="0" xfId="0" applyBorder="1" applyFill="1" applyFont="1"/>
    <xf borderId="5" fillId="0" fontId="5" numFmtId="0" xfId="0" applyBorder="1" applyFont="1"/>
    <xf borderId="0" fillId="0" fontId="1" numFmtId="164" xfId="0" applyAlignment="1" applyFont="1" applyNumberFormat="1">
      <alignment horizontal="right" readingOrder="0"/>
    </xf>
    <xf borderId="5" fillId="0" fontId="5" numFmtId="0" xfId="0" applyBorder="1" applyFont="1"/>
    <xf borderId="0" fillId="0" fontId="1" numFmtId="0" xfId="0" applyAlignment="1" applyFont="1">
      <alignment readingOrder="0"/>
    </xf>
    <xf borderId="0" fillId="0" fontId="5" numFmtId="0" xfId="0" applyAlignment="1" applyFont="1">
      <alignment readingOrder="0"/>
    </xf>
    <xf borderId="0" fillId="3" fontId="11" numFmtId="0" xfId="0" applyAlignment="1" applyFill="1" applyFont="1">
      <alignment horizontal="center" readingOrder="0"/>
    </xf>
    <xf borderId="1" fillId="5" fontId="1" numFmtId="0" xfId="0" applyAlignment="1" applyBorder="1" applyFill="1" applyFont="1">
      <alignment horizontal="left" readingOrder="0"/>
    </xf>
    <xf borderId="4" fillId="0" fontId="5" numFmtId="0" xfId="0" applyBorder="1" applyFont="1"/>
    <xf borderId="3" fillId="0" fontId="5" numFmtId="0" xfId="0" applyBorder="1" applyFont="1"/>
    <xf borderId="2" fillId="9" fontId="5" numFmtId="0" xfId="0" applyBorder="1" applyFill="1" applyFont="1"/>
    <xf borderId="1" fillId="9" fontId="1" numFmtId="165" xfId="0" applyAlignment="1" applyBorder="1" applyFill="1" applyFont="1" applyNumberFormat="1">
      <alignment horizontal="center" readingOrder="0"/>
    </xf>
    <xf borderId="0" fillId="3" fontId="12" numFmtId="0" xfId="0" applyAlignment="1" applyFill="1" applyFont="1">
      <alignment readingOrder="0" shrinkToFit="0" vertical="center" wrapText="1"/>
    </xf>
    <xf borderId="5" fillId="0" fontId="5" numFmtId="0" xfId="0" applyAlignment="1" applyBorder="1" applyFont="1">
      <alignment readingOrder="0"/>
    </xf>
    <xf borderId="5" fillId="0" fontId="5" numFmtId="0" xfId="0" applyAlignment="1" applyBorder="1" applyFont="1">
      <alignment horizontal="center"/>
    </xf>
    <xf borderId="7" fillId="9" fontId="5" numFmtId="166" xfId="0" applyBorder="1" applyFill="1" applyFont="1" applyNumberFormat="1"/>
    <xf borderId="8" fillId="9" fontId="13" numFmtId="9" xfId="0" applyAlignment="1" applyBorder="1" applyFill="1" applyFont="1" applyNumberFormat="1">
      <alignment horizontal="center" vertical="bottom"/>
    </xf>
    <xf borderId="9" fillId="9" fontId="13" numFmtId="9" xfId="0" applyAlignment="1" applyBorder="1" applyFill="1" applyFont="1" applyNumberFormat="1">
      <alignment horizontal="center" vertical="bottom"/>
    </xf>
    <xf borderId="10" fillId="9" fontId="5" numFmtId="0" xfId="0" applyAlignment="1" applyBorder="1" applyFill="1" applyFont="1">
      <alignment readingOrder="0"/>
    </xf>
    <xf borderId="10" fillId="9" fontId="5" numFmtId="0" xfId="0" applyBorder="1" applyFill="1" applyFont="1"/>
    <xf borderId="0" fillId="5" fontId="14" numFmtId="0" xfId="0" applyAlignment="1" applyFill="1" applyFont="1">
      <alignment readingOrder="0" shrinkToFit="0" vertical="center" wrapText="1"/>
    </xf>
    <xf borderId="9" fillId="9" fontId="5" numFmtId="0" xfId="0" applyAlignment="1" applyBorder="1" applyFill="1" applyFont="1">
      <alignment readingOrder="0"/>
    </xf>
    <xf borderId="0" fillId="0" fontId="1" numFmtId="0" xfId="0" applyAlignment="1" applyFont="1">
      <alignment horizontal="right" readingOrder="0"/>
    </xf>
    <xf borderId="5" fillId="0" fontId="5" numFmtId="0" xfId="0" applyAlignment="1" applyBorder="1" applyFont="1">
      <alignment readingOrder="0"/>
    </xf>
    <xf borderId="1" fillId="9" fontId="5" numFmtId="0" xfId="0" applyAlignment="1" applyBorder="1" applyFill="1" applyFont="1">
      <alignment readingOrder="0"/>
    </xf>
    <xf borderId="0" fillId="5" fontId="5" numFmtId="0" xfId="0" applyAlignment="1" applyFill="1" applyFont="1">
      <alignment readingOrder="0" shrinkToFit="0" vertical="center" wrapText="1"/>
    </xf>
    <xf borderId="4" fillId="9" fontId="5" numFmtId="0" xfId="0" applyBorder="1" applyFill="1" applyFont="1"/>
    <xf borderId="1" fillId="0" fontId="1" numFmtId="3" xfId="0" applyAlignment="1" applyBorder="1" applyFont="1" applyNumberFormat="1">
      <alignment horizontal="center" readingOrder="0"/>
    </xf>
    <xf borderId="3" fillId="9" fontId="5" numFmtId="0" xfId="0" applyAlignment="1" applyBorder="1" applyFill="1" applyFont="1">
      <alignment readingOrder="0"/>
    </xf>
    <xf borderId="11" fillId="0" fontId="15" numFmtId="0" xfId="0" applyAlignment="1" applyBorder="1" applyFont="1">
      <alignment shrinkToFit="0" vertical="bottom" wrapText="0"/>
    </xf>
    <xf borderId="7" fillId="9" fontId="5" numFmtId="0" xfId="0" applyBorder="1" applyFill="1" applyFont="1"/>
    <xf borderId="6" fillId="9" fontId="5" numFmtId="0" xfId="0" applyBorder="1" applyFill="1" applyFont="1"/>
    <xf borderId="0" fillId="0" fontId="1" numFmtId="0" xfId="0" applyAlignment="1" applyFont="1">
      <alignment horizontal="right"/>
    </xf>
    <xf borderId="6" fillId="0" fontId="13" numFmtId="0" xfId="0" applyAlignment="1" applyBorder="1" applyFont="1">
      <alignment vertical="bottom"/>
    </xf>
    <xf borderId="12" fillId="0" fontId="5" numFmtId="3" xfId="0" applyAlignment="1" applyBorder="1" applyFont="1" applyNumberFormat="1">
      <alignment readingOrder="0"/>
    </xf>
    <xf borderId="6" fillId="9" fontId="13" numFmtId="9" xfId="0" applyAlignment="1" applyBorder="1" applyFill="1" applyFont="1" applyNumberFormat="1">
      <alignment horizontal="center" vertical="bottom"/>
    </xf>
    <xf borderId="12" fillId="9" fontId="13" numFmtId="9" xfId="0" applyAlignment="1" applyBorder="1" applyFill="1" applyFont="1" applyNumberFormat="1">
      <alignment horizontal="center" vertical="bottom"/>
    </xf>
    <xf borderId="0" fillId="9" fontId="5" numFmtId="0" xfId="0" applyAlignment="1" applyFill="1" applyFont="1">
      <alignment readingOrder="0"/>
    </xf>
    <xf borderId="12" fillId="9" fontId="5" numFmtId="0" xfId="0" applyAlignment="1" applyBorder="1" applyFill="1" applyFont="1">
      <alignment readingOrder="0"/>
    </xf>
    <xf borderId="6" fillId="0" fontId="5" numFmtId="3" xfId="0" applyAlignment="1" applyBorder="1" applyFont="1" applyNumberFormat="1">
      <alignment readingOrder="0"/>
    </xf>
    <xf borderId="6" fillId="9" fontId="5" numFmtId="0" xfId="0" applyAlignment="1" applyBorder="1" applyFill="1" applyFont="1">
      <alignment readingOrder="0"/>
    </xf>
    <xf borderId="13" fillId="9" fontId="5" numFmtId="0" xfId="0" applyBorder="1" applyFill="1" applyFont="1"/>
    <xf borderId="0" fillId="5" fontId="5" numFmtId="0" xfId="0" applyAlignment="1" applyFill="1" applyFont="1">
      <alignment readingOrder="0"/>
    </xf>
    <xf borderId="13" fillId="9" fontId="5" numFmtId="166" xfId="0" applyBorder="1" applyFill="1" applyFont="1" applyNumberFormat="1"/>
    <xf borderId="0" fillId="3" fontId="16" numFmtId="0" xfId="0" applyFill="1" applyFont="1"/>
    <xf borderId="0" fillId="0" fontId="15" numFmtId="0" xfId="0" applyAlignment="1" applyFont="1">
      <alignment vertical="bottom"/>
    </xf>
    <xf borderId="0" fillId="3" fontId="17" numFmtId="0" xfId="0" applyAlignment="1" applyFill="1" applyFont="1">
      <alignment readingOrder="0" shrinkToFit="0" vertical="center" wrapText="1"/>
    </xf>
    <xf borderId="7" fillId="10" fontId="5" numFmtId="0" xfId="0" applyBorder="1" applyFill="1" applyFont="1"/>
    <xf borderId="0" fillId="3" fontId="1" numFmtId="0" xfId="0" applyAlignment="1" applyFill="1" applyFont="1">
      <alignment horizontal="right" readingOrder="0"/>
    </xf>
    <xf borderId="14" fillId="9" fontId="5" numFmtId="0" xfId="0" applyBorder="1" applyFill="1" applyFont="1"/>
    <xf borderId="0" fillId="9" fontId="5" numFmtId="0" xfId="0" applyFill="1" applyFont="1"/>
    <xf borderId="14" fillId="9" fontId="5" numFmtId="0" xfId="0" applyAlignment="1" applyBorder="1" applyFill="1" applyFont="1">
      <alignment readingOrder="0"/>
    </xf>
    <xf borderId="5" fillId="9" fontId="5" numFmtId="0" xfId="0" applyAlignment="1" applyBorder="1" applyFill="1" applyFont="1">
      <alignment readingOrder="0"/>
    </xf>
    <xf borderId="15" fillId="9" fontId="5" numFmtId="0" xfId="0" applyAlignment="1" applyBorder="1" applyFill="1" applyFont="1">
      <alignment readingOrder="0"/>
    </xf>
    <xf borderId="16" fillId="10" fontId="5" numFmtId="0" xfId="0" applyAlignment="1" applyBorder="1" applyFill="1" applyFont="1">
      <alignment readingOrder="0"/>
    </xf>
    <xf borderId="8" fillId="9" fontId="5" numFmtId="0" xfId="0" applyBorder="1" applyFill="1" applyFont="1"/>
    <xf borderId="16" fillId="9" fontId="5" numFmtId="166" xfId="0" applyBorder="1" applyFill="1" applyFont="1" applyNumberFormat="1"/>
    <xf borderId="9" fillId="0" fontId="5" numFmtId="3" xfId="0" applyAlignment="1" applyBorder="1" applyFont="1" applyNumberFormat="1">
      <alignment readingOrder="0"/>
    </xf>
    <xf borderId="8" fillId="9" fontId="5" numFmtId="0" xfId="0" applyAlignment="1" applyBorder="1" applyFill="1" applyFont="1">
      <alignment readingOrder="0"/>
    </xf>
    <xf borderId="8" fillId="0" fontId="5" numFmtId="3" xfId="0" applyAlignment="1" applyBorder="1" applyFont="1" applyNumberFormat="1">
      <alignment readingOrder="0"/>
    </xf>
    <xf borderId="0" fillId="2" fontId="5" numFmtId="0" xfId="0" applyAlignment="1" applyFill="1" applyFont="1">
      <alignment readingOrder="0"/>
    </xf>
    <xf borderId="0" fillId="2" fontId="5" numFmtId="0" xfId="0" applyFill="1" applyFont="1"/>
    <xf borderId="0" fillId="2" fontId="1" numFmtId="0" xfId="0" applyAlignment="1" applyFill="1" applyFont="1">
      <alignment horizontal="center" readingOrder="0"/>
    </xf>
    <xf borderId="0" fillId="2" fontId="18" numFmtId="0" xfId="0" applyAlignment="1" applyFill="1" applyFont="1">
      <alignment horizontal="center" readingOrder="0"/>
    </xf>
    <xf borderId="6" fillId="0" fontId="13" numFmtId="0" xfId="0" applyAlignment="1" applyBorder="1" applyFont="1">
      <alignment readingOrder="0" vertical="bottom"/>
    </xf>
    <xf borderId="9" fillId="9" fontId="5" numFmtId="0" xfId="0" applyBorder="1" applyFill="1" applyFont="1"/>
    <xf borderId="4" fillId="9" fontId="5" numFmtId="0" xfId="0" applyAlignment="1" applyBorder="1" applyFill="1" applyFont="1">
      <alignment readingOrder="0"/>
    </xf>
    <xf borderId="3" fillId="9" fontId="5" numFmtId="0" xfId="0" applyBorder="1" applyFill="1" applyFont="1"/>
    <xf borderId="8" fillId="0" fontId="13" numFmtId="0" xfId="0" applyAlignment="1" applyBorder="1" applyFont="1">
      <alignment vertical="bottom"/>
    </xf>
    <xf borderId="13" fillId="9" fontId="5" numFmtId="0" xfId="0" applyBorder="1" applyFill="1" applyFont="1"/>
    <xf borderId="13" fillId="9" fontId="5" numFmtId="0" xfId="0" applyAlignment="1" applyBorder="1" applyFill="1" applyFont="1">
      <alignment readingOrder="0"/>
    </xf>
    <xf borderId="16" fillId="9" fontId="5" numFmtId="0" xfId="0" applyBorder="1" applyFill="1" applyFont="1"/>
    <xf borderId="7" fillId="9" fontId="5" numFmtId="0" xfId="0" applyBorder="1" applyFill="1" applyFont="1"/>
    <xf borderId="16" fillId="10" fontId="5" numFmtId="0" xfId="0" applyBorder="1" applyFill="1" applyFont="1"/>
    <xf borderId="16" fillId="9" fontId="5" numFmtId="0" xfId="0" applyBorder="1" applyFill="1" applyFont="1"/>
    <xf borderId="0" fillId="0" fontId="19" numFmtId="0" xfId="0" applyAlignment="1" applyFont="1">
      <alignment horizontal="center" readingOrder="0"/>
    </xf>
    <xf borderId="0" fillId="0" fontId="18" numFmtId="0" xfId="0" applyAlignment="1" applyFont="1">
      <alignment horizontal="center" readingOrder="0"/>
    </xf>
    <xf borderId="15" fillId="0" fontId="5" numFmtId="3" xfId="0" applyAlignment="1" applyBorder="1" applyFont="1" applyNumberFormat="1">
      <alignment readingOrder="0"/>
    </xf>
    <xf borderId="1" fillId="9" fontId="5" numFmtId="0" xfId="0" applyAlignment="1" applyBorder="1" applyFill="1" applyFont="1">
      <alignment readingOrder="0"/>
    </xf>
    <xf borderId="4" fillId="9" fontId="5" numFmtId="0" xfId="0" applyAlignment="1" applyBorder="1" applyFill="1" applyFont="1">
      <alignment readingOrder="0"/>
    </xf>
    <xf borderId="3" fillId="9" fontId="5" numFmtId="0" xfId="0" applyAlignment="1" applyBorder="1" applyFill="1" applyFont="1">
      <alignment readingOrder="0"/>
    </xf>
    <xf borderId="8" fillId="8" fontId="5" numFmtId="0" xfId="0" applyBorder="1" applyFill="1" applyFont="1"/>
    <xf borderId="0" fillId="0" fontId="13" numFmtId="0" xfId="0" applyAlignment="1" applyFont="1">
      <alignment vertical="bottom"/>
    </xf>
    <xf borderId="12" fillId="0" fontId="13" numFmtId="0" xfId="0" applyAlignment="1" applyBorder="1" applyFont="1">
      <alignment vertical="bottom"/>
    </xf>
    <xf borderId="1" fillId="11" fontId="1" numFmtId="167" xfId="0" applyAlignment="1" applyBorder="1" applyFill="1" applyFont="1" applyNumberFormat="1">
      <alignment horizontal="center" readingOrder="0"/>
    </xf>
    <xf borderId="12" fillId="0" fontId="7" numFmtId="0" xfId="0" applyAlignment="1" applyBorder="1" applyFont="1">
      <alignment horizontal="right" readingOrder="0" vertical="bottom"/>
    </xf>
    <xf borderId="1" fillId="0" fontId="1" numFmtId="0" xfId="0" applyAlignment="1" applyBorder="1" applyFont="1">
      <alignment horizontal="center" readingOrder="0"/>
    </xf>
    <xf borderId="12" fillId="0" fontId="13" numFmtId="3" xfId="0" applyAlignment="1" applyBorder="1" applyFont="1" applyNumberFormat="1">
      <alignment horizontal="right" readingOrder="0" vertical="bottom"/>
    </xf>
    <xf borderId="14" fillId="0" fontId="13" numFmtId="3" xfId="0" applyAlignment="1" applyBorder="1" applyFont="1" applyNumberFormat="1">
      <alignment vertical="bottom"/>
    </xf>
    <xf borderId="15" fillId="0" fontId="13" numFmtId="3" xfId="0" applyAlignment="1" applyBorder="1" applyFont="1" applyNumberFormat="1">
      <alignment readingOrder="0" vertical="bottom"/>
    </xf>
    <xf borderId="5" fillId="0" fontId="13" numFmtId="3" xfId="0" applyAlignment="1" applyBorder="1" applyFont="1" applyNumberFormat="1">
      <alignment vertical="bottom"/>
    </xf>
    <xf borderId="2" fillId="8" fontId="5" numFmtId="0" xfId="0" applyBorder="1" applyFill="1" applyFont="1"/>
    <xf borderId="2" fillId="9" fontId="5" numFmtId="166" xfId="0" applyBorder="1" applyFill="1" applyFont="1" applyNumberFormat="1"/>
    <xf borderId="6" fillId="0" fontId="13" numFmtId="3" xfId="0" applyAlignment="1" applyBorder="1" applyFont="1" applyNumberFormat="1">
      <alignment vertical="bottom"/>
    </xf>
    <xf borderId="1" fillId="9" fontId="13" numFmtId="9" xfId="0" applyAlignment="1" applyBorder="1" applyFill="1" applyFont="1" applyNumberFormat="1">
      <alignment horizontal="center" vertical="bottom"/>
    </xf>
    <xf borderId="12" fillId="0" fontId="13" numFmtId="3" xfId="0" applyAlignment="1" applyBorder="1" applyFont="1" applyNumberFormat="1">
      <alignment readingOrder="0" vertical="bottom"/>
    </xf>
    <xf borderId="3" fillId="9" fontId="13" numFmtId="9" xfId="0" applyAlignment="1" applyBorder="1" applyFill="1" applyFont="1" applyNumberFormat="1">
      <alignment horizontal="center" vertical="bottom"/>
    </xf>
    <xf borderId="0" fillId="0" fontId="13" numFmtId="3" xfId="0" applyAlignment="1" applyFont="1" applyNumberFormat="1">
      <alignment vertical="bottom"/>
    </xf>
    <xf borderId="1" fillId="9" fontId="5" numFmtId="0" xfId="0" applyBorder="1" applyFill="1" applyFont="1"/>
    <xf borderId="12" fillId="9" fontId="5" numFmtId="0" xfId="0" applyBorder="1" applyFill="1" applyFont="1"/>
    <xf borderId="9" fillId="0" fontId="13" numFmtId="3" xfId="0" applyAlignment="1" applyBorder="1" applyFont="1" applyNumberFormat="1">
      <alignment horizontal="right" readingOrder="0" vertical="bottom"/>
    </xf>
    <xf borderId="8" fillId="0" fontId="13" numFmtId="3" xfId="0" applyAlignment="1" applyBorder="1" applyFont="1" applyNumberFormat="1">
      <alignment vertical="bottom"/>
    </xf>
    <xf borderId="6" fillId="9" fontId="5" numFmtId="0" xfId="0" applyBorder="1" applyFill="1" applyFont="1"/>
    <xf borderId="9" fillId="0" fontId="13" numFmtId="3" xfId="0" applyAlignment="1" applyBorder="1" applyFont="1" applyNumberFormat="1">
      <alignment readingOrder="0" vertical="bottom"/>
    </xf>
    <xf borderId="10" fillId="0" fontId="13" numFmtId="3" xfId="0" applyAlignment="1" applyBorder="1" applyFont="1" applyNumberFormat="1">
      <alignment vertical="bottom"/>
    </xf>
    <xf borderId="6" fillId="9" fontId="5" numFmtId="0" xfId="0" applyBorder="1" applyFill="1" applyFont="1"/>
    <xf borderId="8" fillId="0" fontId="7" numFmtId="3" xfId="0" applyAlignment="1" applyBorder="1" applyFont="1" applyNumberFormat="1">
      <alignment horizontal="center" vertical="bottom"/>
    </xf>
    <xf borderId="9" fillId="0" fontId="5" numFmtId="0" xfId="0" applyBorder="1" applyFont="1"/>
    <xf borderId="10" fillId="0" fontId="7" numFmtId="3" xfId="0" applyAlignment="1" applyBorder="1" applyFont="1" applyNumberFormat="1">
      <alignment horizontal="center" vertical="bottom"/>
    </xf>
    <xf borderId="15" fillId="0" fontId="13" numFmtId="3" xfId="0" applyAlignment="1" applyBorder="1" applyFont="1" applyNumberFormat="1">
      <alignment horizontal="right" readingOrder="0" vertical="bottom"/>
    </xf>
    <xf borderId="8" fillId="9" fontId="5" numFmtId="0" xfId="0" applyBorder="1" applyFill="1" applyFont="1"/>
    <xf borderId="6" fillId="10" fontId="5" numFmtId="0" xfId="0" applyBorder="1" applyFill="1" applyFont="1"/>
    <xf borderId="1" fillId="11" fontId="1" numFmtId="165" xfId="0" applyAlignment="1" applyBorder="1" applyFill="1" applyFont="1" applyNumberFormat="1">
      <alignment horizontal="center" readingOrder="0"/>
    </xf>
    <xf borderId="8" fillId="10" fontId="5" numFmtId="0" xfId="0" applyBorder="1" applyFill="1" applyFont="1"/>
    <xf borderId="14" fillId="4" fontId="20" numFmtId="0" xfId="0" applyAlignment="1" applyBorder="1" applyFill="1" applyFont="1">
      <alignment horizontal="center" readingOrder="0"/>
    </xf>
    <xf borderId="7" fillId="5" fontId="1" numFmtId="0" xfId="0" applyAlignment="1" applyBorder="1" applyFill="1" applyFont="1">
      <alignment horizontal="center" readingOrder="0"/>
    </xf>
    <xf borderId="14" fillId="5" fontId="7" numFmtId="0" xfId="0" applyAlignment="1" applyBorder="1" applyFill="1" applyFont="1">
      <alignment horizontal="center" vertical="bottom"/>
    </xf>
    <xf borderId="15" fillId="5" fontId="7" numFmtId="0" xfId="0" applyAlignment="1" applyBorder="1" applyFill="1" applyFont="1">
      <alignment horizontal="center" vertical="bottom"/>
    </xf>
    <xf borderId="5" fillId="6" fontId="9" numFmtId="0" xfId="0" applyAlignment="1" applyBorder="1" applyFill="1" applyFont="1">
      <alignment horizontal="center" readingOrder="0"/>
    </xf>
    <xf borderId="15" fillId="6" fontId="9" numFmtId="0" xfId="0" applyAlignment="1" applyBorder="1" applyFill="1" applyFont="1">
      <alignment horizontal="center" readingOrder="0"/>
    </xf>
    <xf borderId="14" fillId="7" fontId="9" numFmtId="0" xfId="0" applyAlignment="1" applyBorder="1" applyFill="1" applyFont="1">
      <alignment horizontal="center" readingOrder="0"/>
    </xf>
    <xf borderId="5" fillId="7" fontId="9" numFmtId="0" xfId="0" applyAlignment="1" applyBorder="1" applyFill="1" applyFont="1">
      <alignment horizontal="center" readingOrder="0"/>
    </xf>
    <xf borderId="15" fillId="7" fontId="9" numFmtId="0" xfId="0" applyAlignment="1" applyBorder="1" applyFill="1" applyFont="1">
      <alignment horizontal="center" readingOrder="0"/>
    </xf>
    <xf borderId="7" fillId="8" fontId="5" numFmtId="0" xfId="0" applyAlignment="1" applyBorder="1" applyFill="1" applyFont="1">
      <alignment readingOrder="0"/>
    </xf>
    <xf borderId="5" fillId="9" fontId="5" numFmtId="0" xfId="0" applyBorder="1" applyFill="1" applyFont="1"/>
    <xf borderId="14" fillId="9" fontId="5" numFmtId="166" xfId="0" applyBorder="1" applyFill="1" applyFont="1" applyNumberFormat="1"/>
    <xf borderId="14" fillId="9" fontId="13" numFmtId="9" xfId="0" applyAlignment="1" applyBorder="1" applyFill="1" applyFont="1" applyNumberFormat="1">
      <alignment horizontal="center" vertical="bottom"/>
    </xf>
    <xf borderId="15" fillId="9" fontId="13" numFmtId="9" xfId="0" applyAlignment="1" applyBorder="1" applyFill="1" applyFont="1" applyNumberFormat="1">
      <alignment horizontal="center" vertical="bottom"/>
    </xf>
    <xf borderId="13" fillId="8" fontId="5" numFmtId="0" xfId="0" applyAlignment="1" applyBorder="1" applyFill="1" applyFont="1">
      <alignment readingOrder="0"/>
    </xf>
    <xf borderId="6" fillId="9" fontId="5" numFmtId="166" xfId="0" applyBorder="1" applyFill="1" applyFont="1" applyNumberFormat="1"/>
    <xf borderId="16" fillId="8" fontId="5" numFmtId="0" xfId="0" applyAlignment="1" applyBorder="1" applyFill="1" applyFont="1">
      <alignment readingOrder="0"/>
    </xf>
    <xf borderId="8" fillId="9" fontId="5" numFmtId="166" xfId="0" applyBorder="1" applyFill="1" applyFont="1" applyNumberFormat="1"/>
    <xf borderId="16" fillId="8" fontId="5" numFmtId="0" xfId="0" applyBorder="1" applyFill="1" applyFont="1"/>
    <xf borderId="10" fillId="9" fontId="5" numFmtId="166" xfId="0" applyBorder="1" applyFill="1" applyFont="1" applyNumberFormat="1"/>
    <xf borderId="7" fillId="10" fontId="5" numFmtId="0" xfId="0" applyAlignment="1" applyBorder="1" applyFill="1" applyFont="1">
      <alignment readingOrder="0"/>
    </xf>
    <xf borderId="10" fillId="0" fontId="21" numFmtId="3" xfId="0" applyAlignment="1" applyBorder="1" applyFont="1" applyNumberFormat="1">
      <alignment vertical="bottom"/>
    </xf>
    <xf borderId="0" fillId="0" fontId="7" numFmtId="0" xfId="0" applyAlignment="1" applyFont="1">
      <alignment horizontal="center" readingOrder="0" vertical="bottom"/>
    </xf>
    <xf borderId="0" fillId="0" fontId="13" numFmtId="0" xfId="0" applyAlignment="1" applyFont="1">
      <alignment horizontal="center" readingOrder="0" vertical="bottom"/>
    </xf>
    <xf borderId="0" fillId="0" fontId="13" numFmtId="0" xfId="0" applyAlignment="1" applyFont="1">
      <alignment horizontal="center" vertical="bottom"/>
    </xf>
    <xf borderId="0" fillId="0" fontId="13" numFmtId="0" xfId="0" applyAlignment="1" applyFont="1">
      <alignment readingOrder="0" vertical="bottom"/>
    </xf>
    <xf borderId="0" fillId="0" fontId="13" numFmtId="164" xfId="0" applyAlignment="1" applyFont="1" applyNumberFormat="1">
      <alignment horizontal="center" readingOrder="0" vertical="bottom"/>
    </xf>
    <xf borderId="0" fillId="0" fontId="13" numFmtId="0" xfId="0" applyAlignment="1" applyFont="1">
      <alignment horizontal="center" vertical="bottom"/>
    </xf>
    <xf borderId="0" fillId="0" fontId="1" numFmtId="0" xfId="0" applyAlignment="1" applyFont="1">
      <alignment horizontal="center"/>
    </xf>
    <xf borderId="6" fillId="0" fontId="21" numFmtId="3" xfId="0" applyAlignment="1" applyBorder="1" applyFont="1" applyNumberFormat="1">
      <alignment vertical="bottom"/>
    </xf>
    <xf borderId="0" fillId="0" fontId="21" numFmtId="3" xfId="0" applyAlignment="1" applyFont="1" applyNumberFormat="1">
      <alignment vertical="bottom"/>
    </xf>
    <xf borderId="6" fillId="0" fontId="21" numFmtId="0" xfId="0" applyAlignment="1" applyBorder="1" applyFont="1">
      <alignment vertical="bottom"/>
    </xf>
    <xf borderId="8" fillId="0" fontId="13" numFmtId="0" xfId="0" applyAlignment="1" applyBorder="1" applyFont="1">
      <alignment readingOrder="0" vertical="bottom"/>
    </xf>
    <xf borderId="6" fillId="0" fontId="13" numFmtId="0" xfId="0" applyAlignment="1" applyBorder="1" applyFont="1">
      <alignment vertical="bottom"/>
    </xf>
    <xf borderId="6" fillId="0" fontId="13" numFmtId="0" xfId="0" applyAlignment="1" applyBorder="1" applyFont="1">
      <alignment readingOrder="0" vertical="bottom"/>
    </xf>
    <xf borderId="8" fillId="0" fontId="13" numFmtId="0" xfId="0" applyAlignment="1" applyBorder="1" applyFont="1">
      <alignment readingOrder="0" vertical="bottom"/>
    </xf>
    <xf borderId="14" fillId="0" fontId="1" numFmtId="0" xfId="0" applyAlignment="1" applyBorder="1" applyFont="1">
      <alignment horizontal="center" readingOrder="0"/>
    </xf>
    <xf borderId="15" fillId="0" fontId="5" numFmtId="0" xfId="0" applyBorder="1" applyFont="1"/>
    <xf borderId="14" fillId="0" fontId="13" numFmtId="0" xfId="0" applyAlignment="1" applyBorder="1" applyFont="1">
      <alignment vertical="bottom"/>
    </xf>
  </cellXfs>
  <cellStyles count="1">
    <cellStyle xfId="0" name="Normal" builtinId="0"/>
  </cellStyles>
  <dxfs count="1">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88"/>
    <col customWidth="1" min="3" max="13" width="3.63"/>
    <col customWidth="1" min="14" max="14" width="3.38"/>
    <col customWidth="1" min="15" max="15" width="12.88"/>
    <col customWidth="1" min="16" max="26" width="3.75"/>
    <col customWidth="1" min="27" max="27" width="3.38"/>
    <col customWidth="1" min="28" max="28" width="12.88"/>
    <col customWidth="1" min="29" max="29" width="3.75"/>
    <col customWidth="1" min="30" max="39" width="3.5"/>
  </cols>
  <sheetData>
    <row r="1">
      <c r="B1" s="2" t="s">
        <v>1</v>
      </c>
    </row>
    <row r="2">
      <c r="O2" s="6" t="s">
        <v>5</v>
      </c>
    </row>
    <row r="3">
      <c r="B3" s="8" t="s">
        <v>9</v>
      </c>
      <c r="C3" s="11" t="s">
        <v>11</v>
      </c>
      <c r="D3" s="11" t="s">
        <v>13</v>
      </c>
      <c r="E3" s="14" t="s">
        <v>14</v>
      </c>
      <c r="F3" s="17" t="s">
        <v>16</v>
      </c>
      <c r="G3" s="19" t="s">
        <v>19</v>
      </c>
      <c r="H3" s="19" t="s">
        <v>21</v>
      </c>
      <c r="I3" s="19" t="s">
        <v>23</v>
      </c>
      <c r="J3" s="20" t="s">
        <v>24</v>
      </c>
      <c r="K3" s="22" t="s">
        <v>19</v>
      </c>
      <c r="L3" s="23" t="s">
        <v>21</v>
      </c>
      <c r="M3" s="25" t="s">
        <v>23</v>
      </c>
      <c r="P3" s="26"/>
    </row>
    <row r="4">
      <c r="B4" s="28" t="s">
        <v>12</v>
      </c>
      <c r="C4" s="38">
        <f t="shared" ref="C4:C10" si="1">G4*6+H4*3+I4*1+K4*5+L4*2</f>
        <v>37.5</v>
      </c>
      <c r="D4" s="43">
        <f t="shared" ref="D4:D10" si="2">if(sum(G4:M4)&gt;0,C4/sum(G4:M4),0)</f>
        <v>5.357142857</v>
      </c>
      <c r="E4" s="44">
        <f t="shared" ref="E4:E10" si="3">(G4*6+H4*3+I4*1)/sum(G4:J4)/6</f>
        <v>0.9375</v>
      </c>
      <c r="F4" s="45">
        <f t="shared" ref="F4:F10" si="4">(K4*5+L4*2)/sum(K4:M4)/5</f>
        <v>1</v>
      </c>
      <c r="G4" s="46">
        <v>3.5</v>
      </c>
      <c r="H4" s="46">
        <v>0.5</v>
      </c>
      <c r="I4" s="47"/>
      <c r="J4" s="49"/>
      <c r="K4" s="52">
        <v>3.0</v>
      </c>
      <c r="L4" s="54"/>
      <c r="M4" s="56"/>
      <c r="O4" s="57" t="s">
        <v>109</v>
      </c>
    </row>
    <row r="5">
      <c r="B5" s="58" t="s">
        <v>18</v>
      </c>
      <c r="C5" s="59">
        <f t="shared" si="1"/>
        <v>17</v>
      </c>
      <c r="D5" s="43">
        <f t="shared" si="2"/>
        <v>2.428571429</v>
      </c>
      <c r="E5" s="63">
        <f t="shared" si="3"/>
        <v>0.4166666667</v>
      </c>
      <c r="F5" s="64">
        <f t="shared" si="4"/>
        <v>0.4666666667</v>
      </c>
      <c r="G5" s="65">
        <v>1.0</v>
      </c>
      <c r="H5" s="65">
        <v>1.0</v>
      </c>
      <c r="I5" s="65">
        <v>1.0</v>
      </c>
      <c r="J5" s="66">
        <v>1.0</v>
      </c>
      <c r="K5" s="68">
        <v>1.0</v>
      </c>
      <c r="L5" s="65">
        <v>1.0</v>
      </c>
      <c r="M5" s="66">
        <v>1.0</v>
      </c>
      <c r="O5" s="57" t="s">
        <v>127</v>
      </c>
      <c r="P5" s="26"/>
    </row>
    <row r="6">
      <c r="B6" s="69" t="s">
        <v>20</v>
      </c>
      <c r="C6" s="59">
        <f t="shared" si="1"/>
        <v>17</v>
      </c>
      <c r="D6" s="71">
        <f t="shared" si="2"/>
        <v>2.428571429</v>
      </c>
      <c r="E6" s="63">
        <f t="shared" si="3"/>
        <v>0.4166666667</v>
      </c>
      <c r="F6" s="64">
        <f t="shared" si="4"/>
        <v>0.4666666667</v>
      </c>
      <c r="G6" s="65">
        <v>1.0</v>
      </c>
      <c r="H6" s="65">
        <v>1.0</v>
      </c>
      <c r="I6" s="65">
        <v>1.0</v>
      </c>
      <c r="J6" s="66">
        <v>1.0</v>
      </c>
      <c r="K6" s="68">
        <v>1.0</v>
      </c>
      <c r="L6" s="65">
        <v>1.0</v>
      </c>
      <c r="M6" s="66">
        <v>1.0</v>
      </c>
      <c r="O6" s="57" t="s">
        <v>135</v>
      </c>
      <c r="P6" s="26"/>
    </row>
    <row r="7">
      <c r="B7" s="69" t="s">
        <v>25</v>
      </c>
      <c r="C7" s="59">
        <f t="shared" si="1"/>
        <v>14.5</v>
      </c>
      <c r="D7" s="71">
        <f t="shared" si="2"/>
        <v>2.071428571</v>
      </c>
      <c r="E7" s="63">
        <f t="shared" si="3"/>
        <v>0.2291666667</v>
      </c>
      <c r="F7" s="64">
        <f t="shared" si="4"/>
        <v>0.6</v>
      </c>
      <c r="G7" s="65">
        <v>0.5</v>
      </c>
      <c r="H7" s="65">
        <v>0.5</v>
      </c>
      <c r="I7" s="65">
        <v>1.0</v>
      </c>
      <c r="J7" s="66">
        <v>2.0</v>
      </c>
      <c r="K7" s="68">
        <v>1.0</v>
      </c>
      <c r="L7" s="65">
        <v>2.0</v>
      </c>
      <c r="M7" s="66"/>
      <c r="O7" s="73" t="s">
        <v>143</v>
      </c>
      <c r="P7" s="26"/>
    </row>
    <row r="8">
      <c r="B8" s="69" t="s">
        <v>26</v>
      </c>
      <c r="C8" s="59">
        <f t="shared" si="1"/>
        <v>12</v>
      </c>
      <c r="D8" s="71">
        <f t="shared" si="2"/>
        <v>1.714285714</v>
      </c>
      <c r="E8" s="44">
        <f t="shared" si="3"/>
        <v>0.3333333333</v>
      </c>
      <c r="F8" s="45">
        <f t="shared" si="4"/>
        <v>0.2666666667</v>
      </c>
      <c r="G8" s="46">
        <v>1.0</v>
      </c>
      <c r="H8" s="47"/>
      <c r="I8" s="46">
        <v>2.0</v>
      </c>
      <c r="J8" s="49">
        <v>1.0</v>
      </c>
      <c r="K8" s="68"/>
      <c r="L8" s="65">
        <v>2.0</v>
      </c>
      <c r="M8" s="66">
        <v>1.0</v>
      </c>
      <c r="P8" s="26"/>
    </row>
    <row r="9">
      <c r="B9" s="75" t="s">
        <v>66</v>
      </c>
      <c r="C9" s="77">
        <f t="shared" si="1"/>
        <v>11</v>
      </c>
      <c r="D9" s="43">
        <f t="shared" si="2"/>
        <v>1.571428571</v>
      </c>
      <c r="E9" s="63">
        <f t="shared" si="3"/>
        <v>0.375</v>
      </c>
      <c r="F9" s="64">
        <f t="shared" si="4"/>
        <v>0.1333333333</v>
      </c>
      <c r="G9" s="78"/>
      <c r="H9" s="65">
        <v>3.0</v>
      </c>
      <c r="I9" s="78"/>
      <c r="J9" s="66">
        <v>1.0</v>
      </c>
      <c r="K9" s="79"/>
      <c r="L9" s="80">
        <v>1.0</v>
      </c>
      <c r="M9" s="81">
        <v>2.0</v>
      </c>
      <c r="O9" s="26"/>
      <c r="P9" s="26"/>
    </row>
    <row r="10">
      <c r="B10" s="82" t="s">
        <v>70</v>
      </c>
      <c r="C10" s="83">
        <f t="shared" si="1"/>
        <v>10</v>
      </c>
      <c r="D10" s="84">
        <f t="shared" si="2"/>
        <v>1.428571429</v>
      </c>
      <c r="E10" s="44">
        <f t="shared" si="3"/>
        <v>0.2083333333</v>
      </c>
      <c r="F10" s="45">
        <f t="shared" si="4"/>
        <v>0.3333333333</v>
      </c>
      <c r="G10" s="47"/>
      <c r="H10" s="46">
        <v>1.0</v>
      </c>
      <c r="I10" s="46">
        <v>2.0</v>
      </c>
      <c r="J10" s="49">
        <v>1.0</v>
      </c>
      <c r="K10" s="86">
        <v>1.0</v>
      </c>
      <c r="L10" s="46"/>
      <c r="M10" s="49">
        <v>2.0</v>
      </c>
      <c r="O10" s="26" t="s">
        <v>155</v>
      </c>
    </row>
    <row r="12">
      <c r="B12" s="2" t="s">
        <v>156</v>
      </c>
      <c r="K12" s="88" t="s">
        <v>157</v>
      </c>
      <c r="L12" s="89"/>
      <c r="M12" s="89"/>
      <c r="N12" s="89"/>
      <c r="O12" s="2"/>
      <c r="P12" s="90"/>
      <c r="Q12" s="91"/>
      <c r="R12" s="91"/>
      <c r="S12" s="91"/>
      <c r="T12" s="91"/>
      <c r="U12" s="90"/>
      <c r="V12" s="90"/>
      <c r="W12" s="90"/>
      <c r="X12" s="89"/>
      <c r="Y12" s="89"/>
      <c r="Z12" s="89"/>
      <c r="AA12" s="89"/>
      <c r="AB12" s="2"/>
      <c r="AC12" s="90"/>
      <c r="AD12" s="91"/>
      <c r="AE12" s="91"/>
      <c r="AF12" s="91"/>
      <c r="AG12" s="91"/>
      <c r="AH12" s="90"/>
      <c r="AI12" s="90"/>
      <c r="AJ12" s="90"/>
      <c r="AK12" s="89"/>
      <c r="AL12" s="89"/>
      <c r="AM12" s="89"/>
      <c r="AN12" s="89"/>
    </row>
    <row r="14">
      <c r="B14" s="8" t="s">
        <v>160</v>
      </c>
      <c r="C14" s="11" t="s">
        <v>11</v>
      </c>
      <c r="D14" s="11" t="s">
        <v>13</v>
      </c>
      <c r="E14" s="14" t="s">
        <v>14</v>
      </c>
      <c r="F14" s="17" t="s">
        <v>16</v>
      </c>
      <c r="G14" s="19" t="s">
        <v>19</v>
      </c>
      <c r="H14" s="19" t="s">
        <v>21</v>
      </c>
      <c r="I14" s="19" t="s">
        <v>23</v>
      </c>
      <c r="J14" s="20" t="s">
        <v>24</v>
      </c>
      <c r="K14" s="22" t="s">
        <v>19</v>
      </c>
      <c r="L14" s="23" t="s">
        <v>21</v>
      </c>
      <c r="M14" s="25" t="s">
        <v>23</v>
      </c>
      <c r="O14" s="8" t="s">
        <v>164</v>
      </c>
      <c r="P14" s="11" t="s">
        <v>11</v>
      </c>
      <c r="Q14" s="11" t="s">
        <v>13</v>
      </c>
      <c r="R14" s="14" t="s">
        <v>14</v>
      </c>
      <c r="S14" s="17" t="s">
        <v>16</v>
      </c>
      <c r="T14" s="19" t="s">
        <v>19</v>
      </c>
      <c r="U14" s="19" t="s">
        <v>21</v>
      </c>
      <c r="V14" s="19" t="s">
        <v>23</v>
      </c>
      <c r="W14" s="20" t="s">
        <v>24</v>
      </c>
      <c r="X14" s="22" t="s">
        <v>19</v>
      </c>
      <c r="Y14" s="23" t="s">
        <v>21</v>
      </c>
      <c r="Z14" s="25" t="s">
        <v>23</v>
      </c>
    </row>
    <row r="15">
      <c r="B15" s="28" t="s">
        <v>28</v>
      </c>
      <c r="C15" s="38">
        <f t="shared" ref="C15:C21" si="5">G15*6+H15*3+I15*1+K15*5+L15*2</f>
        <v>33</v>
      </c>
      <c r="D15" s="43">
        <f t="shared" ref="D15:D21" si="6">if(sum(G15:M15)&gt;0,C15/sum(G15:M15),0)</f>
        <v>4.714285714</v>
      </c>
      <c r="E15" s="44">
        <f t="shared" ref="E15:E21" si="7">(G15*6+H15*3+I15*1)/sum(G15:J15)/6</f>
        <v>0.875</v>
      </c>
      <c r="F15" s="45">
        <f t="shared" ref="F15:F21" si="8">(K15*5+L15*2)/sum(K15:M15)/5</f>
        <v>0.8</v>
      </c>
      <c r="G15" s="46">
        <v>3.0</v>
      </c>
      <c r="H15" s="46">
        <v>1.0</v>
      </c>
      <c r="I15" s="47"/>
      <c r="J15" s="93"/>
      <c r="K15" s="52">
        <v>2.0</v>
      </c>
      <c r="L15" s="94">
        <v>1.0</v>
      </c>
      <c r="M15" s="95"/>
      <c r="O15" s="28" t="s">
        <v>31</v>
      </c>
      <c r="P15" s="38">
        <f t="shared" ref="P15:P21" si="9">T15*6+U15*3+V15*1+X15*5+Y15*2</f>
        <v>30</v>
      </c>
      <c r="Q15" s="43">
        <f t="shared" ref="Q15:Q21" si="10">if(sum(T15:Z15)&gt;0,P15/sum(T15:Z15),0)</f>
        <v>4.285714286</v>
      </c>
      <c r="R15" s="44">
        <f t="shared" ref="R15:R21" si="11">(T15*6+U15*3+V15*1)/sum(T15:W15)/6</f>
        <v>0.875</v>
      </c>
      <c r="S15" s="45">
        <f t="shared" ref="S15:S21" si="12">(X15*5+Y15*2)/sum(X15:Z15)/5</f>
        <v>0.6</v>
      </c>
      <c r="T15" s="46">
        <v>3.0</v>
      </c>
      <c r="U15" s="46">
        <v>1.0</v>
      </c>
      <c r="V15" s="46"/>
      <c r="W15" s="49"/>
      <c r="X15" s="52">
        <v>1.0</v>
      </c>
      <c r="Y15" s="94">
        <v>2.0</v>
      </c>
      <c r="Z15" s="56"/>
    </row>
    <row r="16">
      <c r="B16" s="58" t="s">
        <v>37</v>
      </c>
      <c r="C16" s="97">
        <f t="shared" si="5"/>
        <v>24</v>
      </c>
      <c r="D16" s="43">
        <f t="shared" si="6"/>
        <v>3.428571429</v>
      </c>
      <c r="E16" s="63">
        <f t="shared" si="7"/>
        <v>0.625</v>
      </c>
      <c r="F16" s="64">
        <f t="shared" si="8"/>
        <v>0.6</v>
      </c>
      <c r="G16" s="65">
        <v>1.0</v>
      </c>
      <c r="H16" s="65">
        <v>3.0</v>
      </c>
      <c r="I16" s="78"/>
      <c r="J16" s="66"/>
      <c r="K16" s="68">
        <v>1.0</v>
      </c>
      <c r="L16" s="65">
        <v>2.0</v>
      </c>
      <c r="M16" s="66"/>
      <c r="O16" s="58" t="s">
        <v>33</v>
      </c>
      <c r="P16" s="97">
        <f t="shared" si="9"/>
        <v>28</v>
      </c>
      <c r="Q16" s="43">
        <f t="shared" si="10"/>
        <v>4</v>
      </c>
      <c r="R16" s="63">
        <f t="shared" si="11"/>
        <v>0.7916666667</v>
      </c>
      <c r="S16" s="64">
        <f t="shared" si="12"/>
        <v>0.6</v>
      </c>
      <c r="T16" s="65">
        <v>3.0</v>
      </c>
      <c r="U16" s="78"/>
      <c r="V16" s="65">
        <v>1.0</v>
      </c>
      <c r="W16" s="66"/>
      <c r="X16" s="68">
        <v>1.0</v>
      </c>
      <c r="Y16" s="65">
        <v>2.0</v>
      </c>
      <c r="Z16" s="66"/>
    </row>
    <row r="17">
      <c r="B17" s="69" t="s">
        <v>40</v>
      </c>
      <c r="C17" s="97">
        <f t="shared" si="5"/>
        <v>20</v>
      </c>
      <c r="D17" s="71">
        <f t="shared" si="6"/>
        <v>2.857142857</v>
      </c>
      <c r="E17" s="63">
        <f t="shared" si="7"/>
        <v>0.4583333333</v>
      </c>
      <c r="F17" s="64">
        <f t="shared" si="8"/>
        <v>0.6</v>
      </c>
      <c r="G17" s="65">
        <v>1.0</v>
      </c>
      <c r="H17" s="65">
        <v>1.0</v>
      </c>
      <c r="I17" s="65">
        <v>2.0</v>
      </c>
      <c r="J17" s="66"/>
      <c r="K17" s="68">
        <v>1.0</v>
      </c>
      <c r="L17" s="65">
        <v>2.0</v>
      </c>
      <c r="M17" s="66"/>
      <c r="O17" s="98" t="s">
        <v>38</v>
      </c>
      <c r="P17" s="97">
        <f t="shared" si="9"/>
        <v>21</v>
      </c>
      <c r="Q17" s="71">
        <f t="shared" si="10"/>
        <v>3</v>
      </c>
      <c r="R17" s="63">
        <f t="shared" si="11"/>
        <v>0.375</v>
      </c>
      <c r="S17" s="64">
        <f t="shared" si="12"/>
        <v>0.8</v>
      </c>
      <c r="T17" s="65">
        <v>1.0</v>
      </c>
      <c r="U17" s="65">
        <v>1.0</v>
      </c>
      <c r="V17" s="78"/>
      <c r="W17" s="66">
        <v>2.0</v>
      </c>
      <c r="X17" s="68">
        <v>2.0</v>
      </c>
      <c r="Y17" s="65">
        <v>1.0</v>
      </c>
      <c r="Z17" s="66"/>
    </row>
    <row r="18">
      <c r="B18" s="69" t="s">
        <v>45</v>
      </c>
      <c r="C18" s="97">
        <f t="shared" si="5"/>
        <v>17</v>
      </c>
      <c r="D18" s="71">
        <f t="shared" si="6"/>
        <v>2.428571429</v>
      </c>
      <c r="E18" s="63">
        <f t="shared" si="7"/>
        <v>0.4166666667</v>
      </c>
      <c r="F18" s="64">
        <f t="shared" si="8"/>
        <v>0.4666666667</v>
      </c>
      <c r="G18" s="65">
        <v>1.0</v>
      </c>
      <c r="H18" s="65">
        <v>1.0</v>
      </c>
      <c r="I18" s="65">
        <v>1.0</v>
      </c>
      <c r="J18" s="66">
        <v>1.0</v>
      </c>
      <c r="K18" s="68">
        <v>1.0</v>
      </c>
      <c r="L18" s="65">
        <v>1.0</v>
      </c>
      <c r="M18" s="66">
        <v>1.0</v>
      </c>
      <c r="O18" s="69" t="s">
        <v>41</v>
      </c>
      <c r="P18" s="97">
        <f t="shared" si="9"/>
        <v>20</v>
      </c>
      <c r="Q18" s="71">
        <f t="shared" si="10"/>
        <v>2.857142857</v>
      </c>
      <c r="R18" s="63">
        <f t="shared" si="11"/>
        <v>0.4166666667</v>
      </c>
      <c r="S18" s="64">
        <f t="shared" si="12"/>
        <v>0.6666666667</v>
      </c>
      <c r="T18" s="65"/>
      <c r="U18" s="65">
        <v>3.0</v>
      </c>
      <c r="V18" s="65">
        <v>1.0</v>
      </c>
      <c r="W18" s="66"/>
      <c r="X18" s="68">
        <v>2.0</v>
      </c>
      <c r="Y18" s="78"/>
      <c r="Z18" s="66">
        <v>1.0</v>
      </c>
    </row>
    <row r="19">
      <c r="B19" s="99" t="s">
        <v>47</v>
      </c>
      <c r="C19" s="97">
        <f t="shared" si="5"/>
        <v>16</v>
      </c>
      <c r="D19" s="71">
        <f t="shared" si="6"/>
        <v>2.285714286</v>
      </c>
      <c r="E19" s="44">
        <f t="shared" si="7"/>
        <v>0.375</v>
      </c>
      <c r="F19" s="45">
        <f t="shared" si="8"/>
        <v>0.4666666667</v>
      </c>
      <c r="G19" s="46">
        <v>1.0</v>
      </c>
      <c r="H19" s="46">
        <v>1.0</v>
      </c>
      <c r="I19" s="46"/>
      <c r="J19" s="49">
        <v>2.0</v>
      </c>
      <c r="K19" s="68">
        <v>1.0</v>
      </c>
      <c r="L19" s="65">
        <v>1.0</v>
      </c>
      <c r="M19" s="66">
        <v>1.0</v>
      </c>
      <c r="O19" s="69" t="s">
        <v>49</v>
      </c>
      <c r="P19" s="97">
        <f t="shared" si="9"/>
        <v>10</v>
      </c>
      <c r="Q19" s="71">
        <f t="shared" si="10"/>
        <v>1.428571429</v>
      </c>
      <c r="R19" s="44">
        <f t="shared" si="11"/>
        <v>0.3333333333</v>
      </c>
      <c r="S19" s="45">
        <f t="shared" si="12"/>
        <v>0.1333333333</v>
      </c>
      <c r="T19" s="47"/>
      <c r="U19" s="46">
        <v>2.0</v>
      </c>
      <c r="V19" s="46">
        <v>2.0</v>
      </c>
      <c r="W19" s="49"/>
      <c r="X19" s="68"/>
      <c r="Y19" s="65">
        <v>1.0</v>
      </c>
      <c r="Z19" s="66">
        <v>2.0</v>
      </c>
    </row>
    <row r="20">
      <c r="B20" s="75" t="s">
        <v>100</v>
      </c>
      <c r="C20" s="100">
        <f t="shared" si="5"/>
        <v>6</v>
      </c>
      <c r="D20" s="43">
        <f t="shared" si="6"/>
        <v>0.8571428571</v>
      </c>
      <c r="E20" s="63">
        <f t="shared" si="7"/>
        <v>0.04166666667</v>
      </c>
      <c r="F20" s="64">
        <f t="shared" si="8"/>
        <v>0.3333333333</v>
      </c>
      <c r="G20" s="65"/>
      <c r="H20" s="65"/>
      <c r="I20" s="65">
        <v>1.0</v>
      </c>
      <c r="J20" s="66">
        <v>3.0</v>
      </c>
      <c r="K20" s="79">
        <v>1.0</v>
      </c>
      <c r="L20" s="80"/>
      <c r="M20" s="81">
        <v>2.0</v>
      </c>
      <c r="O20" s="75" t="s">
        <v>98</v>
      </c>
      <c r="P20" s="100">
        <f t="shared" si="9"/>
        <v>9</v>
      </c>
      <c r="Q20" s="43">
        <f t="shared" si="10"/>
        <v>1.285714286</v>
      </c>
      <c r="R20" s="63">
        <f t="shared" si="11"/>
        <v>0.08333333333</v>
      </c>
      <c r="S20" s="64">
        <f t="shared" si="12"/>
        <v>0.4666666667</v>
      </c>
      <c r="T20" s="78"/>
      <c r="U20" s="78"/>
      <c r="V20" s="65">
        <v>2.0</v>
      </c>
      <c r="W20" s="66">
        <v>2.0</v>
      </c>
      <c r="X20" s="79">
        <v>1.0</v>
      </c>
      <c r="Y20" s="80">
        <v>1.0</v>
      </c>
      <c r="Z20" s="81">
        <v>1.0</v>
      </c>
    </row>
    <row r="21">
      <c r="B21" s="101" t="s">
        <v>102</v>
      </c>
      <c r="C21" s="102">
        <f t="shared" si="5"/>
        <v>3</v>
      </c>
      <c r="D21" s="84">
        <f t="shared" si="6"/>
        <v>0.4285714286</v>
      </c>
      <c r="E21" s="44">
        <f t="shared" si="7"/>
        <v>0.125</v>
      </c>
      <c r="F21" s="45">
        <f t="shared" si="8"/>
        <v>0</v>
      </c>
      <c r="G21" s="46"/>
      <c r="H21" s="46"/>
      <c r="I21" s="46">
        <v>3.0</v>
      </c>
      <c r="J21" s="49">
        <v>1.0</v>
      </c>
      <c r="K21" s="86"/>
      <c r="L21" s="47"/>
      <c r="M21" s="49">
        <v>3.0</v>
      </c>
      <c r="O21" s="101" t="s">
        <v>103</v>
      </c>
      <c r="P21" s="102">
        <f t="shared" si="9"/>
        <v>1</v>
      </c>
      <c r="Q21" s="84">
        <f t="shared" si="10"/>
        <v>0.1428571429</v>
      </c>
      <c r="R21" s="44">
        <f t="shared" si="11"/>
        <v>0.04166666667</v>
      </c>
      <c r="S21" s="45">
        <f t="shared" si="12"/>
        <v>0</v>
      </c>
      <c r="T21" s="47"/>
      <c r="U21" s="46"/>
      <c r="V21" s="46">
        <v>1.0</v>
      </c>
      <c r="W21" s="49">
        <v>3.0</v>
      </c>
      <c r="X21" s="86"/>
      <c r="Y21" s="47"/>
      <c r="Z21" s="49">
        <v>3.0</v>
      </c>
    </row>
    <row r="23">
      <c r="B23" s="2" t="s">
        <v>168</v>
      </c>
      <c r="K23" s="88" t="s">
        <v>169</v>
      </c>
      <c r="L23" s="89"/>
      <c r="M23" s="89"/>
      <c r="N23" s="89"/>
      <c r="O23" s="2"/>
      <c r="P23" s="90"/>
      <c r="Q23" s="91"/>
      <c r="R23" s="91"/>
      <c r="S23" s="91"/>
      <c r="T23" s="91"/>
      <c r="U23" s="90"/>
      <c r="V23" s="90"/>
      <c r="W23" s="90"/>
      <c r="X23" s="89"/>
      <c r="Y23" s="89"/>
      <c r="Z23" s="89"/>
      <c r="AA23" s="89"/>
      <c r="AB23" s="2"/>
      <c r="AC23" s="90"/>
      <c r="AD23" s="91"/>
      <c r="AE23" s="91"/>
      <c r="AF23" s="91"/>
      <c r="AG23" s="91"/>
      <c r="AH23" s="90"/>
      <c r="AI23" s="90"/>
      <c r="AJ23" s="90"/>
      <c r="AK23" s="89"/>
      <c r="AL23" s="89"/>
      <c r="AM23" s="89"/>
      <c r="AN23" s="89"/>
    </row>
    <row r="24">
      <c r="B24" s="103"/>
      <c r="C24" s="1"/>
      <c r="D24" s="104"/>
      <c r="E24" s="104"/>
      <c r="F24" s="104"/>
      <c r="G24" s="104"/>
      <c r="H24" s="1"/>
      <c r="I24" s="1"/>
      <c r="J24" s="1"/>
      <c r="O24" s="103"/>
      <c r="P24" s="1"/>
      <c r="Q24" s="104"/>
      <c r="R24" s="104"/>
      <c r="S24" s="104"/>
      <c r="T24" s="104"/>
      <c r="U24" s="1"/>
      <c r="V24" s="1"/>
      <c r="W24" s="1"/>
      <c r="AB24" s="103"/>
      <c r="AC24" s="1"/>
      <c r="AD24" s="104"/>
      <c r="AE24" s="104"/>
      <c r="AF24" s="104"/>
      <c r="AG24" s="104"/>
      <c r="AH24" s="1"/>
      <c r="AI24" s="1"/>
      <c r="AJ24" s="1"/>
    </row>
    <row r="25">
      <c r="B25" s="8" t="s">
        <v>170</v>
      </c>
      <c r="C25" s="11" t="s">
        <v>11</v>
      </c>
      <c r="D25" s="11" t="s">
        <v>13</v>
      </c>
      <c r="E25" s="14" t="s">
        <v>14</v>
      </c>
      <c r="F25" s="17" t="s">
        <v>16</v>
      </c>
      <c r="G25" s="19" t="s">
        <v>19</v>
      </c>
      <c r="H25" s="19" t="s">
        <v>21</v>
      </c>
      <c r="I25" s="19" t="s">
        <v>23</v>
      </c>
      <c r="J25" s="20" t="s">
        <v>24</v>
      </c>
      <c r="K25" s="22" t="s">
        <v>19</v>
      </c>
      <c r="L25" s="23" t="s">
        <v>21</v>
      </c>
      <c r="M25" s="25" t="s">
        <v>23</v>
      </c>
      <c r="O25" s="8" t="s">
        <v>171</v>
      </c>
      <c r="P25" s="11" t="s">
        <v>11</v>
      </c>
      <c r="Q25" s="11" t="s">
        <v>13</v>
      </c>
      <c r="R25" s="14" t="s">
        <v>14</v>
      </c>
      <c r="S25" s="17" t="s">
        <v>16</v>
      </c>
      <c r="T25" s="19" t="s">
        <v>19</v>
      </c>
      <c r="U25" s="19" t="s">
        <v>21</v>
      </c>
      <c r="V25" s="19" t="s">
        <v>23</v>
      </c>
      <c r="W25" s="20" t="s">
        <v>24</v>
      </c>
      <c r="X25" s="22" t="s">
        <v>19</v>
      </c>
      <c r="Y25" s="23" t="s">
        <v>21</v>
      </c>
      <c r="Z25" s="25" t="s">
        <v>23</v>
      </c>
      <c r="AB25" s="8" t="s">
        <v>172</v>
      </c>
      <c r="AC25" s="11" t="s">
        <v>11</v>
      </c>
      <c r="AD25" s="11" t="s">
        <v>13</v>
      </c>
      <c r="AE25" s="14" t="s">
        <v>14</v>
      </c>
      <c r="AF25" s="17" t="s">
        <v>16</v>
      </c>
      <c r="AG25" s="19" t="s">
        <v>19</v>
      </c>
      <c r="AH25" s="19" t="s">
        <v>21</v>
      </c>
      <c r="AI25" s="19" t="s">
        <v>23</v>
      </c>
      <c r="AJ25" s="20" t="s">
        <v>24</v>
      </c>
      <c r="AK25" s="22" t="s">
        <v>19</v>
      </c>
      <c r="AL25" s="23" t="s">
        <v>21</v>
      </c>
      <c r="AM25" s="25" t="s">
        <v>23</v>
      </c>
    </row>
    <row r="26">
      <c r="B26" s="28" t="s">
        <v>58</v>
      </c>
      <c r="C26" s="38">
        <f t="shared" ref="C26:C32" si="13">G26*6+H26*3+I26*1+K26*5+L26*2</f>
        <v>27</v>
      </c>
      <c r="D26" s="43">
        <f t="shared" ref="D26:D32" si="14">if(sum(G26:M26)&gt;0,C26/sum(G26:M26),0)</f>
        <v>3.857142857</v>
      </c>
      <c r="E26" s="44">
        <f t="shared" ref="E26:E32" si="15">(G26*6+H26*3+I26*1)/sum(G26:J26)/6</f>
        <v>0.625</v>
      </c>
      <c r="F26" s="45">
        <f t="shared" ref="F26:F32" si="16">(K26*5+L26*2)/sum(K26:M26)/5</f>
        <v>0.8</v>
      </c>
      <c r="G26" s="46">
        <v>2.0</v>
      </c>
      <c r="H26" s="46">
        <v>1.0</v>
      </c>
      <c r="I26" s="47"/>
      <c r="J26" s="49">
        <v>1.0</v>
      </c>
      <c r="K26" s="106">
        <v>2.0</v>
      </c>
      <c r="L26" s="107">
        <v>1.0</v>
      </c>
      <c r="M26" s="108"/>
      <c r="O26" s="109" t="s">
        <v>60</v>
      </c>
      <c r="P26" s="38">
        <f t="shared" ref="P26:P32" si="17">T26*6+U26*3+V26*1+X26*5+Y26*2</f>
        <v>26</v>
      </c>
      <c r="Q26" s="43">
        <f t="shared" ref="Q26:Q32" si="18">if(sum(T26:Z26)&gt;0,P26/sum(T26:Z26),0)</f>
        <v>3.714285714</v>
      </c>
      <c r="R26" s="44">
        <f t="shared" ref="R26:R32" si="19">(T26*6+U26*3+V26*1)/sum(T26:W26)/6</f>
        <v>0.7916666667</v>
      </c>
      <c r="S26" s="45">
        <f t="shared" ref="S26:S32" si="20">(X26*5+Y26*2)/sum(X26:Z26)/5</f>
        <v>0.4666666667</v>
      </c>
      <c r="T26" s="46">
        <v>3.0</v>
      </c>
      <c r="U26" s="46"/>
      <c r="V26" s="46">
        <v>1.0</v>
      </c>
      <c r="W26" s="49"/>
      <c r="X26" s="52">
        <v>1.0</v>
      </c>
      <c r="Y26" s="94">
        <v>1.0</v>
      </c>
      <c r="Z26" s="56">
        <v>1.0</v>
      </c>
      <c r="AB26" s="109" t="s">
        <v>53</v>
      </c>
      <c r="AC26" s="38">
        <f t="shared" ref="AC26:AC32" si="21">AG26*6+AH26*3+AI26*1+AK26*5+AL26*2</f>
        <v>33</v>
      </c>
      <c r="AD26" s="43">
        <f t="shared" ref="AD26:AD32" si="22">if(sum(AG26:AM26)&gt;0,AC26/sum(AG26:AM26),0)</f>
        <v>4.714285714</v>
      </c>
      <c r="AE26" s="44">
        <f t="shared" ref="AE26:AE32" si="23">(AG26*6+AH26*3+AI26*1)/sum(AG26:AJ26)/6</f>
        <v>0.875</v>
      </c>
      <c r="AF26" s="45">
        <f t="shared" ref="AF26:AF32" si="24">(AK26*5+AL26*2)/sum(AK26:AM26)/5</f>
        <v>0.8</v>
      </c>
      <c r="AG26" s="46">
        <v>3.0</v>
      </c>
      <c r="AH26" s="46">
        <v>1.0</v>
      </c>
      <c r="AI26" s="47"/>
      <c r="AJ26" s="49"/>
      <c r="AK26" s="106">
        <v>2.0</v>
      </c>
      <c r="AL26" s="107">
        <v>1.0</v>
      </c>
      <c r="AM26" s="108"/>
    </row>
    <row r="27">
      <c r="B27" s="119" t="s">
        <v>63</v>
      </c>
      <c r="C27" s="38">
        <f t="shared" si="13"/>
        <v>26</v>
      </c>
      <c r="D27" s="120">
        <f t="shared" si="14"/>
        <v>3.714285714</v>
      </c>
      <c r="E27" s="122">
        <f t="shared" si="15"/>
        <v>0.6666666667</v>
      </c>
      <c r="F27" s="124">
        <f t="shared" si="16"/>
        <v>0.6666666667</v>
      </c>
      <c r="G27" s="94">
        <v>2.0</v>
      </c>
      <c r="H27" s="94">
        <v>1.0</v>
      </c>
      <c r="I27" s="94">
        <v>1.0</v>
      </c>
      <c r="J27" s="56"/>
      <c r="K27" s="106">
        <v>2.0</v>
      </c>
      <c r="L27" s="107"/>
      <c r="M27" s="108">
        <v>1.0</v>
      </c>
      <c r="O27" s="126" t="s">
        <v>75</v>
      </c>
      <c r="P27" s="38">
        <f t="shared" si="17"/>
        <v>23</v>
      </c>
      <c r="Q27" s="120">
        <f t="shared" si="18"/>
        <v>3.285714286</v>
      </c>
      <c r="R27" s="122">
        <f t="shared" si="19"/>
        <v>0.5833333333</v>
      </c>
      <c r="S27" s="124">
        <f t="shared" si="20"/>
        <v>0.6</v>
      </c>
      <c r="T27" s="94">
        <v>2.0</v>
      </c>
      <c r="U27" s="54"/>
      <c r="V27" s="94">
        <v>2.0</v>
      </c>
      <c r="W27" s="95"/>
      <c r="X27" s="52">
        <v>1.0</v>
      </c>
      <c r="Y27" s="94">
        <v>2.0</v>
      </c>
      <c r="Z27" s="56"/>
      <c r="AB27" s="126" t="s">
        <v>71</v>
      </c>
      <c r="AC27" s="38">
        <f t="shared" si="21"/>
        <v>26</v>
      </c>
      <c r="AD27" s="120">
        <f t="shared" si="22"/>
        <v>3.714285714</v>
      </c>
      <c r="AE27" s="122">
        <f t="shared" si="23"/>
        <v>0.625</v>
      </c>
      <c r="AF27" s="124">
        <f t="shared" si="24"/>
        <v>0.7333333333</v>
      </c>
      <c r="AG27" s="94">
        <v>2.0</v>
      </c>
      <c r="AH27" s="94">
        <v>1.0</v>
      </c>
      <c r="AI27" s="54"/>
      <c r="AJ27" s="56">
        <v>1.0</v>
      </c>
      <c r="AK27" s="52">
        <v>2.0</v>
      </c>
      <c r="AL27" s="94">
        <v>0.5</v>
      </c>
      <c r="AM27" s="56">
        <v>0.5</v>
      </c>
    </row>
    <row r="28">
      <c r="B28" s="69" t="s">
        <v>78</v>
      </c>
      <c r="C28" s="97">
        <f t="shared" si="13"/>
        <v>25</v>
      </c>
      <c r="D28" s="71">
        <f t="shared" si="14"/>
        <v>3.571428571</v>
      </c>
      <c r="E28" s="63">
        <f t="shared" si="15"/>
        <v>0.75</v>
      </c>
      <c r="F28" s="64">
        <f t="shared" si="16"/>
        <v>0.4666666667</v>
      </c>
      <c r="G28" s="65">
        <v>2.0</v>
      </c>
      <c r="H28" s="65">
        <v>2.0</v>
      </c>
      <c r="I28" s="65"/>
      <c r="J28" s="127"/>
      <c r="K28" s="68">
        <v>1.0</v>
      </c>
      <c r="L28" s="65">
        <v>1.0</v>
      </c>
      <c r="M28" s="66">
        <v>1.0</v>
      </c>
      <c r="O28" s="130" t="s">
        <v>79</v>
      </c>
      <c r="P28" s="97">
        <f t="shared" si="17"/>
        <v>22</v>
      </c>
      <c r="Q28" s="71">
        <f t="shared" si="18"/>
        <v>3.142857143</v>
      </c>
      <c r="R28" s="63">
        <f t="shared" si="19"/>
        <v>0.5</v>
      </c>
      <c r="S28" s="64">
        <f t="shared" si="20"/>
        <v>0.6666666667</v>
      </c>
      <c r="T28" s="78"/>
      <c r="U28" s="65">
        <v>4.0</v>
      </c>
      <c r="V28" s="78"/>
      <c r="W28" s="66"/>
      <c r="X28" s="68">
        <v>2.0</v>
      </c>
      <c r="Y28" s="65"/>
      <c r="Z28" s="66">
        <v>1.0</v>
      </c>
      <c r="AB28" s="133" t="s">
        <v>81</v>
      </c>
      <c r="AC28" s="97">
        <f t="shared" si="21"/>
        <v>19</v>
      </c>
      <c r="AD28" s="71">
        <f t="shared" si="22"/>
        <v>2.714285714</v>
      </c>
      <c r="AE28" s="63">
        <f t="shared" si="23"/>
        <v>0.625</v>
      </c>
      <c r="AF28" s="64">
        <f t="shared" si="24"/>
        <v>0.2666666667</v>
      </c>
      <c r="AG28" s="65">
        <v>2.0</v>
      </c>
      <c r="AH28" s="65">
        <v>1.0</v>
      </c>
      <c r="AI28" s="65"/>
      <c r="AJ28" s="66">
        <v>1.0</v>
      </c>
      <c r="AK28" s="68"/>
      <c r="AL28" s="65">
        <v>2.0</v>
      </c>
      <c r="AM28" s="66">
        <v>1.0</v>
      </c>
    </row>
    <row r="29">
      <c r="B29" s="69" t="s">
        <v>84</v>
      </c>
      <c r="C29" s="97">
        <f t="shared" si="13"/>
        <v>15</v>
      </c>
      <c r="D29" s="71">
        <f t="shared" si="14"/>
        <v>2.142857143</v>
      </c>
      <c r="E29" s="63">
        <f t="shared" si="15"/>
        <v>0.2083333333</v>
      </c>
      <c r="F29" s="64">
        <f t="shared" si="16"/>
        <v>0.6666666667</v>
      </c>
      <c r="G29" s="65"/>
      <c r="H29" s="65">
        <v>1.0</v>
      </c>
      <c r="I29" s="65">
        <v>2.0</v>
      </c>
      <c r="J29" s="66">
        <v>1.0</v>
      </c>
      <c r="K29" s="68">
        <v>2.0</v>
      </c>
      <c r="L29" s="78"/>
      <c r="M29" s="66">
        <v>1.0</v>
      </c>
      <c r="O29" s="133" t="s">
        <v>83</v>
      </c>
      <c r="P29" s="97">
        <f t="shared" si="17"/>
        <v>19</v>
      </c>
      <c r="Q29" s="71">
        <f t="shared" si="18"/>
        <v>2.714285714</v>
      </c>
      <c r="R29" s="63">
        <f t="shared" si="19"/>
        <v>0.5416666667</v>
      </c>
      <c r="S29" s="64">
        <f t="shared" si="20"/>
        <v>0.4</v>
      </c>
      <c r="T29" s="65">
        <v>1.0</v>
      </c>
      <c r="U29" s="65">
        <v>2.0</v>
      </c>
      <c r="V29" s="65">
        <v>1.0</v>
      </c>
      <c r="W29" s="66"/>
      <c r="X29" s="68">
        <v>1.0</v>
      </c>
      <c r="Y29" s="65">
        <v>0.5</v>
      </c>
      <c r="Z29" s="66">
        <v>1.5</v>
      </c>
      <c r="AB29" s="133" t="s">
        <v>85</v>
      </c>
      <c r="AC29" s="97">
        <f t="shared" si="21"/>
        <v>13</v>
      </c>
      <c r="AD29" s="71">
        <f t="shared" si="22"/>
        <v>1.857142857</v>
      </c>
      <c r="AE29" s="63">
        <f t="shared" si="23"/>
        <v>0.25</v>
      </c>
      <c r="AF29" s="64">
        <f t="shared" si="24"/>
        <v>0.4666666667</v>
      </c>
      <c r="AG29" s="78"/>
      <c r="AH29" s="65">
        <v>2.0</v>
      </c>
      <c r="AI29" s="78"/>
      <c r="AJ29" s="66">
        <v>2.0</v>
      </c>
      <c r="AK29" s="68">
        <v>1.0</v>
      </c>
      <c r="AL29" s="65">
        <v>1.0</v>
      </c>
      <c r="AM29" s="66">
        <v>1.0</v>
      </c>
    </row>
    <row r="30">
      <c r="B30" s="69" t="s">
        <v>90</v>
      </c>
      <c r="C30" s="97">
        <f t="shared" si="13"/>
        <v>12</v>
      </c>
      <c r="D30" s="71">
        <f t="shared" si="14"/>
        <v>1.714285714</v>
      </c>
      <c r="E30" s="44">
        <f t="shared" si="15"/>
        <v>0.4166666667</v>
      </c>
      <c r="F30" s="45">
        <f t="shared" si="16"/>
        <v>0.1333333333</v>
      </c>
      <c r="G30" s="46">
        <v>1.0</v>
      </c>
      <c r="H30" s="46">
        <v>1.0</v>
      </c>
      <c r="I30" s="46">
        <v>1.0</v>
      </c>
      <c r="J30" s="49">
        <v>1.0</v>
      </c>
      <c r="K30" s="68"/>
      <c r="L30" s="65">
        <v>1.0</v>
      </c>
      <c r="M30" s="66">
        <v>2.0</v>
      </c>
      <c r="O30" s="138" t="s">
        <v>87</v>
      </c>
      <c r="P30" s="97">
        <f t="shared" si="17"/>
        <v>15</v>
      </c>
      <c r="Q30" s="71">
        <f t="shared" si="18"/>
        <v>2.142857143</v>
      </c>
      <c r="R30" s="44">
        <f t="shared" si="19"/>
        <v>0.4166666667</v>
      </c>
      <c r="S30" s="45">
        <f t="shared" si="20"/>
        <v>0.3333333333</v>
      </c>
      <c r="T30" s="46">
        <v>1.0</v>
      </c>
      <c r="U30" s="46">
        <v>1.0</v>
      </c>
      <c r="V30" s="46">
        <v>1.0</v>
      </c>
      <c r="W30" s="49">
        <v>1.0</v>
      </c>
      <c r="X30" s="68">
        <v>1.0</v>
      </c>
      <c r="Y30" s="78"/>
      <c r="Z30" s="66">
        <v>2.0</v>
      </c>
      <c r="AB30" s="138" t="s">
        <v>88</v>
      </c>
      <c r="AC30" s="97">
        <f t="shared" si="21"/>
        <v>13</v>
      </c>
      <c r="AD30" s="71">
        <f t="shared" si="22"/>
        <v>1.857142857</v>
      </c>
      <c r="AE30" s="44">
        <f t="shared" si="23"/>
        <v>0.2916666667</v>
      </c>
      <c r="AF30" s="45">
        <f t="shared" si="24"/>
        <v>0.4</v>
      </c>
      <c r="AG30" s="47"/>
      <c r="AH30" s="46">
        <v>2.0</v>
      </c>
      <c r="AI30" s="46">
        <v>1.0</v>
      </c>
      <c r="AJ30" s="49">
        <v>1.0</v>
      </c>
      <c r="AK30" s="68">
        <v>1.0</v>
      </c>
      <c r="AL30" s="65">
        <v>0.5</v>
      </c>
      <c r="AM30" s="66">
        <v>1.5</v>
      </c>
    </row>
    <row r="31">
      <c r="B31" s="75" t="s">
        <v>126</v>
      </c>
      <c r="C31" s="100">
        <f t="shared" si="13"/>
        <v>9</v>
      </c>
      <c r="D31" s="43">
        <f t="shared" si="14"/>
        <v>1.285714286</v>
      </c>
      <c r="E31" s="63">
        <f t="shared" si="15"/>
        <v>0.2083333333</v>
      </c>
      <c r="F31" s="64">
        <f t="shared" si="16"/>
        <v>0.2666666667</v>
      </c>
      <c r="G31" s="78"/>
      <c r="H31" s="65">
        <v>1.0</v>
      </c>
      <c r="I31" s="65">
        <v>2.0</v>
      </c>
      <c r="J31" s="66">
        <v>1.0</v>
      </c>
      <c r="K31" s="79"/>
      <c r="L31" s="80">
        <v>2.0</v>
      </c>
      <c r="M31" s="81">
        <v>1.0</v>
      </c>
      <c r="O31" s="139" t="s">
        <v>124</v>
      </c>
      <c r="P31" s="100">
        <f t="shared" si="17"/>
        <v>10</v>
      </c>
      <c r="Q31" s="43">
        <f t="shared" si="18"/>
        <v>1.428571429</v>
      </c>
      <c r="R31" s="63">
        <f t="shared" si="19"/>
        <v>0.04166666667</v>
      </c>
      <c r="S31" s="64">
        <f t="shared" si="20"/>
        <v>0.6</v>
      </c>
      <c r="T31" s="78"/>
      <c r="U31" s="78"/>
      <c r="V31" s="65">
        <v>1.0</v>
      </c>
      <c r="W31" s="66">
        <v>3.0</v>
      </c>
      <c r="X31" s="79">
        <v>1.0</v>
      </c>
      <c r="Y31" s="80">
        <v>2.0</v>
      </c>
      <c r="Z31" s="81"/>
      <c r="AB31" s="139" t="s">
        <v>125</v>
      </c>
      <c r="AC31" s="100">
        <f t="shared" si="21"/>
        <v>10</v>
      </c>
      <c r="AD31" s="43">
        <f t="shared" si="22"/>
        <v>1.428571429</v>
      </c>
      <c r="AE31" s="63">
        <f t="shared" si="23"/>
        <v>0.125</v>
      </c>
      <c r="AF31" s="64">
        <f t="shared" si="24"/>
        <v>0.4666666667</v>
      </c>
      <c r="AG31" s="78"/>
      <c r="AH31" s="78"/>
      <c r="AI31" s="65">
        <v>3.0</v>
      </c>
      <c r="AJ31" s="66">
        <v>1.0</v>
      </c>
      <c r="AK31" s="79">
        <v>1.0</v>
      </c>
      <c r="AL31" s="80">
        <v>1.0</v>
      </c>
      <c r="AM31" s="81">
        <v>1.0</v>
      </c>
    </row>
    <row r="32">
      <c r="B32" s="101" t="s">
        <v>128</v>
      </c>
      <c r="C32" s="102">
        <f t="shared" si="13"/>
        <v>5</v>
      </c>
      <c r="D32" s="84">
        <f t="shared" si="14"/>
        <v>0.7142857143</v>
      </c>
      <c r="E32" s="44">
        <f t="shared" si="15"/>
        <v>0.04166666667</v>
      </c>
      <c r="F32" s="45">
        <f t="shared" si="16"/>
        <v>0.2666666667</v>
      </c>
      <c r="G32" s="46"/>
      <c r="H32" s="46"/>
      <c r="I32" s="46">
        <v>1.0</v>
      </c>
      <c r="J32" s="49">
        <v>3.0</v>
      </c>
      <c r="K32" s="86"/>
      <c r="L32" s="46">
        <v>2.0</v>
      </c>
      <c r="M32" s="49">
        <v>1.0</v>
      </c>
      <c r="O32" s="141" t="s">
        <v>133</v>
      </c>
      <c r="P32" s="102">
        <f t="shared" si="17"/>
        <v>4</v>
      </c>
      <c r="Q32" s="84">
        <f t="shared" si="18"/>
        <v>0.5714285714</v>
      </c>
      <c r="R32" s="44">
        <f t="shared" si="19"/>
        <v>0.04166666667</v>
      </c>
      <c r="S32" s="45">
        <f t="shared" si="20"/>
        <v>0.2</v>
      </c>
      <c r="T32" s="46"/>
      <c r="U32" s="46"/>
      <c r="V32" s="46">
        <v>1.0</v>
      </c>
      <c r="W32" s="49">
        <v>3.0</v>
      </c>
      <c r="X32" s="86"/>
      <c r="Y32" s="46">
        <v>1.5</v>
      </c>
      <c r="Z32" s="49">
        <v>1.5</v>
      </c>
      <c r="AB32" s="141" t="s">
        <v>131</v>
      </c>
      <c r="AC32" s="102">
        <f t="shared" si="21"/>
        <v>5</v>
      </c>
      <c r="AD32" s="84">
        <f t="shared" si="22"/>
        <v>0.7142857143</v>
      </c>
      <c r="AE32" s="44">
        <f t="shared" si="23"/>
        <v>0.125</v>
      </c>
      <c r="AF32" s="45">
        <f t="shared" si="24"/>
        <v>0.1333333333</v>
      </c>
      <c r="AG32" s="46"/>
      <c r="AH32" s="46"/>
      <c r="AI32" s="46">
        <v>3.0</v>
      </c>
      <c r="AJ32" s="49">
        <v>1.0</v>
      </c>
      <c r="AK32" s="86"/>
      <c r="AL32" s="46">
        <v>1.0</v>
      </c>
      <c r="AM32" s="49">
        <v>2.0</v>
      </c>
    </row>
    <row r="34">
      <c r="B34" s="2" t="s">
        <v>175</v>
      </c>
      <c r="K34" s="88" t="s">
        <v>176</v>
      </c>
      <c r="L34" s="89"/>
      <c r="M34" s="89"/>
      <c r="N34" s="89"/>
      <c r="O34" s="2"/>
      <c r="P34" s="90"/>
      <c r="Q34" s="91"/>
      <c r="R34" s="91"/>
      <c r="S34" s="91"/>
      <c r="T34" s="91"/>
      <c r="U34" s="90"/>
      <c r="V34" s="90"/>
      <c r="W34" s="90"/>
      <c r="X34" s="89"/>
      <c r="Y34" s="89"/>
      <c r="Z34" s="89"/>
      <c r="AA34" s="89"/>
      <c r="AB34" s="2"/>
      <c r="AC34" s="90"/>
      <c r="AD34" s="91"/>
      <c r="AE34" s="91"/>
      <c r="AF34" s="91"/>
      <c r="AG34" s="91"/>
      <c r="AH34" s="90"/>
      <c r="AI34" s="90"/>
      <c r="AJ34" s="90"/>
      <c r="AK34" s="89"/>
      <c r="AL34" s="89"/>
      <c r="AM34" s="89"/>
      <c r="AN34" s="89"/>
    </row>
    <row r="35">
      <c r="B35" s="103"/>
      <c r="C35" s="1"/>
      <c r="D35" s="104"/>
      <c r="E35" s="104"/>
      <c r="F35" s="104"/>
      <c r="G35" s="104"/>
      <c r="H35" s="1"/>
      <c r="I35" s="1"/>
      <c r="J35" s="1"/>
      <c r="O35" s="103"/>
      <c r="P35" s="1"/>
      <c r="Q35" s="104"/>
      <c r="R35" s="104"/>
      <c r="S35" s="104"/>
      <c r="T35" s="104"/>
      <c r="U35" s="1"/>
      <c r="V35" s="1"/>
      <c r="W35" s="1"/>
      <c r="AB35" s="103"/>
      <c r="AC35" s="1"/>
      <c r="AD35" s="104"/>
      <c r="AE35" s="104"/>
      <c r="AF35" s="104"/>
      <c r="AG35" s="104"/>
      <c r="AH35" s="1"/>
      <c r="AI35" s="1"/>
      <c r="AJ35" s="1"/>
    </row>
    <row r="36">
      <c r="B36" s="142" t="s">
        <v>177</v>
      </c>
      <c r="C36" s="143" t="s">
        <v>11</v>
      </c>
      <c r="D36" s="143" t="s">
        <v>13</v>
      </c>
      <c r="E36" s="144" t="s">
        <v>14</v>
      </c>
      <c r="F36" s="145" t="s">
        <v>16</v>
      </c>
      <c r="G36" s="146" t="s">
        <v>19</v>
      </c>
      <c r="H36" s="146" t="s">
        <v>21</v>
      </c>
      <c r="I36" s="146" t="s">
        <v>23</v>
      </c>
      <c r="J36" s="147" t="s">
        <v>24</v>
      </c>
      <c r="K36" s="148" t="s">
        <v>19</v>
      </c>
      <c r="L36" s="149" t="s">
        <v>21</v>
      </c>
      <c r="M36" s="150" t="s">
        <v>23</v>
      </c>
      <c r="O36" s="8" t="s">
        <v>178</v>
      </c>
      <c r="P36" s="11" t="s">
        <v>11</v>
      </c>
      <c r="Q36" s="11" t="s">
        <v>13</v>
      </c>
      <c r="R36" s="144" t="s">
        <v>14</v>
      </c>
      <c r="S36" s="145" t="s">
        <v>16</v>
      </c>
      <c r="T36" s="19" t="s">
        <v>19</v>
      </c>
      <c r="U36" s="19" t="s">
        <v>21</v>
      </c>
      <c r="V36" s="19" t="s">
        <v>23</v>
      </c>
      <c r="W36" s="20" t="s">
        <v>24</v>
      </c>
      <c r="X36" s="22" t="s">
        <v>19</v>
      </c>
      <c r="Y36" s="23" t="s">
        <v>21</v>
      </c>
      <c r="Z36" s="25" t="s">
        <v>23</v>
      </c>
      <c r="AB36" s="8" t="s">
        <v>179</v>
      </c>
      <c r="AC36" s="11" t="s">
        <v>11</v>
      </c>
      <c r="AD36" s="11" t="s">
        <v>13</v>
      </c>
      <c r="AE36" s="144" t="s">
        <v>14</v>
      </c>
      <c r="AF36" s="145" t="s">
        <v>16</v>
      </c>
      <c r="AG36" s="19" t="s">
        <v>19</v>
      </c>
      <c r="AH36" s="19" t="s">
        <v>21</v>
      </c>
      <c r="AI36" s="19" t="s">
        <v>23</v>
      </c>
      <c r="AJ36" s="20" t="s">
        <v>24</v>
      </c>
      <c r="AK36" s="22" t="s">
        <v>19</v>
      </c>
      <c r="AL36" s="23" t="s">
        <v>21</v>
      </c>
      <c r="AM36" s="25" t="s">
        <v>23</v>
      </c>
    </row>
    <row r="37">
      <c r="B37" s="151" t="s">
        <v>93</v>
      </c>
      <c r="C37" s="152">
        <f t="shared" ref="C37:C43" si="25">G37*6+H37*3+I37*1+K37*5+L37*2</f>
        <v>28</v>
      </c>
      <c r="D37" s="153">
        <f t="shared" ref="D37:D43" si="26">if(sum(G37:M37)&gt;0,C37/sum(G37:M37),0)</f>
        <v>4</v>
      </c>
      <c r="E37" s="154">
        <f t="shared" ref="E37:E43" si="27">(G37*6+H37*3+I37*1)/sum(G37:J37)/6</f>
        <v>0.875</v>
      </c>
      <c r="F37" s="155">
        <f t="shared" ref="F37:F43" si="28">(K37*5+L37*2)/sum(K37:M37)/5</f>
        <v>0.4666666667</v>
      </c>
      <c r="G37" s="80">
        <v>3.0</v>
      </c>
      <c r="H37" s="80">
        <v>1.0</v>
      </c>
      <c r="I37" s="152"/>
      <c r="J37" s="152"/>
      <c r="K37" s="79">
        <v>1.0</v>
      </c>
      <c r="L37" s="80">
        <v>1.0</v>
      </c>
      <c r="M37" s="81">
        <v>1.0</v>
      </c>
      <c r="O37" s="156" t="s">
        <v>91</v>
      </c>
      <c r="P37" s="78">
        <f t="shared" ref="P37:P43" si="29">T37*6+U37*3+V37*1+X37*5+Y37*2</f>
        <v>31</v>
      </c>
      <c r="Q37" s="157">
        <f t="shared" ref="Q37:Q43" si="30">if(sum(T37:Z37)&gt;0,P37/sum(T37:Z37),0)</f>
        <v>4.428571429</v>
      </c>
      <c r="R37" s="154">
        <f t="shared" ref="R37:R43" si="31">(T37*6+U37*3+V37*1)/sum(T37:W37)/6</f>
        <v>0.7916666667</v>
      </c>
      <c r="S37" s="155">
        <f t="shared" ref="S37:S43" si="32">(X37*5+Y37*2)/sum(X37:Z37)/5</f>
        <v>0.8</v>
      </c>
      <c r="T37" s="65">
        <v>3.0</v>
      </c>
      <c r="U37" s="65"/>
      <c r="V37" s="65">
        <v>1.0</v>
      </c>
      <c r="W37" s="65"/>
      <c r="X37" s="68">
        <v>2.0</v>
      </c>
      <c r="Y37" s="65">
        <v>1.0</v>
      </c>
      <c r="Z37" s="66"/>
      <c r="AB37" s="156" t="s">
        <v>92</v>
      </c>
      <c r="AC37" s="78">
        <f t="shared" ref="AC37:AC44" si="33">AG37*6+AH37*3+AI37*1+AK37*5+AL37*2</f>
        <v>30</v>
      </c>
      <c r="AD37" s="157">
        <f t="shared" ref="AD37:AD44" si="34">if(sum(AG37:AM37)&gt;0,AC37/sum(AG37:AM37),0)</f>
        <v>4.285714286</v>
      </c>
      <c r="AE37" s="154">
        <f t="shared" ref="AE37:AE44" si="35">(AG37*6+AH37*3+AI37*1)/sum(AG37:AJ37)/6</f>
        <v>0.625</v>
      </c>
      <c r="AF37" s="155">
        <f t="shared" ref="AF37:AF44" si="36">(AK37*5+AL37*2)/sum(AK37:AM37)/5</f>
        <v>1</v>
      </c>
      <c r="AG37" s="65">
        <v>1.0</v>
      </c>
      <c r="AH37" s="65">
        <v>3.0</v>
      </c>
      <c r="AI37" s="78"/>
      <c r="AJ37" s="65"/>
      <c r="AK37" s="68">
        <v>3.0</v>
      </c>
      <c r="AL37" s="78"/>
      <c r="AM37" s="66"/>
    </row>
    <row r="38">
      <c r="B38" s="158" t="s">
        <v>97</v>
      </c>
      <c r="C38" s="102">
        <f t="shared" si="25"/>
        <v>26</v>
      </c>
      <c r="D38" s="159">
        <f t="shared" si="26"/>
        <v>3.714285714</v>
      </c>
      <c r="E38" s="44">
        <f t="shared" si="27"/>
        <v>0.5833333333</v>
      </c>
      <c r="F38" s="45">
        <f t="shared" si="28"/>
        <v>0.8</v>
      </c>
      <c r="G38" s="46">
        <v>2.0</v>
      </c>
      <c r="H38" s="47"/>
      <c r="I38" s="46">
        <v>2.0</v>
      </c>
      <c r="J38" s="49"/>
      <c r="K38" s="86">
        <v>2.0</v>
      </c>
      <c r="L38" s="46">
        <v>1.0</v>
      </c>
      <c r="M38" s="49"/>
      <c r="O38" s="158" t="s">
        <v>94</v>
      </c>
      <c r="P38" s="102">
        <f t="shared" si="29"/>
        <v>30</v>
      </c>
      <c r="Q38" s="159">
        <f t="shared" si="30"/>
        <v>4.285714286</v>
      </c>
      <c r="R38" s="44">
        <f t="shared" si="31"/>
        <v>0.625</v>
      </c>
      <c r="S38" s="45">
        <f t="shared" si="32"/>
        <v>1</v>
      </c>
      <c r="T38" s="46">
        <v>1.0</v>
      </c>
      <c r="U38" s="46">
        <v>3.0</v>
      </c>
      <c r="V38" s="47"/>
      <c r="W38" s="49"/>
      <c r="X38" s="86">
        <v>3.0</v>
      </c>
      <c r="Y38" s="46"/>
      <c r="Z38" s="49"/>
      <c r="AB38" s="160" t="s">
        <v>95</v>
      </c>
      <c r="AC38" s="102">
        <f t="shared" si="33"/>
        <v>27</v>
      </c>
      <c r="AD38" s="159">
        <f t="shared" si="34"/>
        <v>3.857142857</v>
      </c>
      <c r="AE38" s="63">
        <f t="shared" si="35"/>
        <v>0.625</v>
      </c>
      <c r="AF38" s="64">
        <f t="shared" si="36"/>
        <v>0.8</v>
      </c>
      <c r="AG38" s="46">
        <v>2.0</v>
      </c>
      <c r="AH38" s="46">
        <v>1.0</v>
      </c>
      <c r="AI38" s="47"/>
      <c r="AJ38" s="49">
        <v>1.0</v>
      </c>
      <c r="AK38" s="86">
        <v>2.0</v>
      </c>
      <c r="AL38" s="46">
        <v>1.0</v>
      </c>
      <c r="AM38" s="93"/>
    </row>
    <row r="39">
      <c r="B39" s="98" t="s">
        <v>107</v>
      </c>
      <c r="C39" s="97">
        <f t="shared" si="25"/>
        <v>17</v>
      </c>
      <c r="D39" s="71">
        <f t="shared" si="26"/>
        <v>2.428571429</v>
      </c>
      <c r="E39" s="63">
        <f t="shared" si="27"/>
        <v>0.4166666667</v>
      </c>
      <c r="F39" s="64">
        <f t="shared" si="28"/>
        <v>0.4666666667</v>
      </c>
      <c r="G39" s="78"/>
      <c r="H39" s="65">
        <v>3.0</v>
      </c>
      <c r="I39" s="65">
        <v>1.0</v>
      </c>
      <c r="J39" s="66"/>
      <c r="K39" s="68">
        <v>1.0</v>
      </c>
      <c r="L39" s="65">
        <v>1.0</v>
      </c>
      <c r="M39" s="66">
        <v>1.0</v>
      </c>
      <c r="O39" s="98" t="s">
        <v>106</v>
      </c>
      <c r="P39" s="97">
        <f t="shared" si="29"/>
        <v>18</v>
      </c>
      <c r="Q39" s="71">
        <f t="shared" si="30"/>
        <v>2.571428571</v>
      </c>
      <c r="R39" s="63">
        <f t="shared" si="31"/>
        <v>0.3333333333</v>
      </c>
      <c r="S39" s="64">
        <f t="shared" si="32"/>
        <v>0.6666666667</v>
      </c>
      <c r="T39" s="78"/>
      <c r="U39" s="65">
        <v>2.0</v>
      </c>
      <c r="V39" s="65">
        <v>2.0</v>
      </c>
      <c r="W39" s="66"/>
      <c r="X39" s="68">
        <v>2.0</v>
      </c>
      <c r="Y39" s="78"/>
      <c r="Z39" s="66">
        <v>1.0</v>
      </c>
      <c r="AB39" s="98" t="s">
        <v>104</v>
      </c>
      <c r="AC39" s="97">
        <f t="shared" si="33"/>
        <v>21</v>
      </c>
      <c r="AD39" s="157">
        <f t="shared" si="34"/>
        <v>3</v>
      </c>
      <c r="AE39" s="154">
        <f t="shared" si="35"/>
        <v>0.6666666667</v>
      </c>
      <c r="AF39" s="155">
        <f t="shared" si="36"/>
        <v>0.3333333333</v>
      </c>
      <c r="AG39" s="65">
        <v>2.0</v>
      </c>
      <c r="AH39" s="65">
        <v>1.0</v>
      </c>
      <c r="AI39" s="65">
        <v>1.0</v>
      </c>
      <c r="AJ39" s="127"/>
      <c r="AK39" s="68">
        <v>1.0</v>
      </c>
      <c r="AL39" s="78"/>
      <c r="AM39" s="66">
        <v>2.0</v>
      </c>
    </row>
    <row r="40">
      <c r="B40" s="98" t="s">
        <v>115</v>
      </c>
      <c r="C40" s="97">
        <f t="shared" si="25"/>
        <v>13</v>
      </c>
      <c r="D40" s="71">
        <f t="shared" si="26"/>
        <v>1.857142857</v>
      </c>
      <c r="E40" s="63">
        <f t="shared" si="27"/>
        <v>0.25</v>
      </c>
      <c r="F40" s="64">
        <f t="shared" si="28"/>
        <v>0.4666666667</v>
      </c>
      <c r="G40" s="65"/>
      <c r="H40" s="65">
        <v>1.0</v>
      </c>
      <c r="I40" s="65">
        <v>3.0</v>
      </c>
      <c r="J40" s="127"/>
      <c r="K40" s="68">
        <v>1.0</v>
      </c>
      <c r="L40" s="65">
        <v>1.0</v>
      </c>
      <c r="M40" s="66">
        <v>1.0</v>
      </c>
      <c r="O40" s="98" t="s">
        <v>112</v>
      </c>
      <c r="P40" s="97">
        <f t="shared" si="29"/>
        <v>17</v>
      </c>
      <c r="Q40" s="71">
        <f t="shared" si="30"/>
        <v>2.428571429</v>
      </c>
      <c r="R40" s="63">
        <f t="shared" si="31"/>
        <v>0.4583333333</v>
      </c>
      <c r="S40" s="64">
        <f t="shared" si="32"/>
        <v>0.4</v>
      </c>
      <c r="T40" s="65">
        <v>1.0</v>
      </c>
      <c r="U40" s="65">
        <v>1.0</v>
      </c>
      <c r="V40" s="65">
        <v>2.0</v>
      </c>
      <c r="W40" s="127"/>
      <c r="X40" s="68"/>
      <c r="Y40" s="65">
        <v>3.0</v>
      </c>
      <c r="Z40" s="66"/>
      <c r="AB40" s="69" t="s">
        <v>111</v>
      </c>
      <c r="AC40" s="97">
        <f t="shared" si="33"/>
        <v>20</v>
      </c>
      <c r="AD40" s="157">
        <f t="shared" si="34"/>
        <v>2.857142857</v>
      </c>
      <c r="AE40" s="63">
        <f t="shared" si="35"/>
        <v>0.5416666667</v>
      </c>
      <c r="AF40" s="64">
        <f t="shared" si="36"/>
        <v>0.4666666667</v>
      </c>
      <c r="AG40" s="65">
        <v>2.0</v>
      </c>
      <c r="AH40" s="78"/>
      <c r="AI40" s="65">
        <v>1.0</v>
      </c>
      <c r="AJ40" s="66">
        <v>1.0</v>
      </c>
      <c r="AK40" s="68">
        <v>1.0</v>
      </c>
      <c r="AL40" s="65">
        <v>1.0</v>
      </c>
      <c r="AM40" s="66">
        <v>1.0</v>
      </c>
    </row>
    <row r="41">
      <c r="B41" s="98" t="s">
        <v>120</v>
      </c>
      <c r="C41" s="78">
        <f t="shared" si="25"/>
        <v>13</v>
      </c>
      <c r="D41" s="71">
        <f t="shared" si="26"/>
        <v>1.857142857</v>
      </c>
      <c r="E41" s="44">
        <f t="shared" si="27"/>
        <v>0.25</v>
      </c>
      <c r="F41" s="45">
        <f t="shared" si="28"/>
        <v>0.4666666667</v>
      </c>
      <c r="G41" s="78"/>
      <c r="H41" s="65">
        <v>2.0</v>
      </c>
      <c r="I41" s="78"/>
      <c r="J41" s="66">
        <v>2.0</v>
      </c>
      <c r="K41" s="68">
        <v>1.0</v>
      </c>
      <c r="L41" s="65">
        <v>1.0</v>
      </c>
      <c r="M41" s="66">
        <v>1.0</v>
      </c>
      <c r="O41" s="98" t="s">
        <v>122</v>
      </c>
      <c r="P41" s="78">
        <f t="shared" si="29"/>
        <v>10</v>
      </c>
      <c r="Q41" s="71">
        <f t="shared" si="30"/>
        <v>1.428571429</v>
      </c>
      <c r="R41" s="44">
        <f t="shared" si="31"/>
        <v>0.25</v>
      </c>
      <c r="S41" s="45">
        <f t="shared" si="32"/>
        <v>0.2666666667</v>
      </c>
      <c r="T41" s="65">
        <v>1.0</v>
      </c>
      <c r="U41" s="78"/>
      <c r="V41" s="78"/>
      <c r="W41" s="66">
        <v>3.0</v>
      </c>
      <c r="X41" s="68"/>
      <c r="Y41" s="65">
        <v>2.0</v>
      </c>
      <c r="Z41" s="66">
        <v>1.0</v>
      </c>
      <c r="AB41" s="98" t="s">
        <v>117</v>
      </c>
      <c r="AC41" s="78">
        <f t="shared" si="33"/>
        <v>15</v>
      </c>
      <c r="AD41" s="157">
        <f t="shared" si="34"/>
        <v>2.142857143</v>
      </c>
      <c r="AE41" s="63">
        <f t="shared" si="35"/>
        <v>0.375</v>
      </c>
      <c r="AF41" s="64">
        <f t="shared" si="36"/>
        <v>0.4</v>
      </c>
      <c r="AG41" s="65">
        <v>1.0</v>
      </c>
      <c r="AH41" s="78"/>
      <c r="AI41" s="65">
        <v>3.0</v>
      </c>
      <c r="AJ41" s="66"/>
      <c r="AK41" s="59"/>
      <c r="AL41" s="65">
        <v>3.0</v>
      </c>
      <c r="AM41" s="66"/>
    </row>
    <row r="42">
      <c r="B42" s="75" t="s">
        <v>136</v>
      </c>
      <c r="C42" s="152">
        <f t="shared" si="25"/>
        <v>12</v>
      </c>
      <c r="D42" s="43">
        <f t="shared" si="26"/>
        <v>1.714285714</v>
      </c>
      <c r="E42" s="63">
        <f t="shared" si="27"/>
        <v>0.2916666667</v>
      </c>
      <c r="F42" s="64">
        <f t="shared" si="28"/>
        <v>0.3333333333</v>
      </c>
      <c r="G42" s="80">
        <v>1.0</v>
      </c>
      <c r="H42" s="152"/>
      <c r="I42" s="80">
        <v>1.0</v>
      </c>
      <c r="J42" s="81">
        <v>2.0</v>
      </c>
      <c r="K42" s="79">
        <v>1.0</v>
      </c>
      <c r="L42" s="152"/>
      <c r="M42" s="81">
        <v>2.0</v>
      </c>
      <c r="O42" s="75" t="s">
        <v>137</v>
      </c>
      <c r="P42" s="152">
        <f t="shared" si="29"/>
        <v>9</v>
      </c>
      <c r="Q42" s="43">
        <f t="shared" si="30"/>
        <v>1.285714286</v>
      </c>
      <c r="R42" s="63">
        <f t="shared" si="31"/>
        <v>0.375</v>
      </c>
      <c r="S42" s="64">
        <f t="shared" si="32"/>
        <v>0</v>
      </c>
      <c r="T42" s="80">
        <v>1.0</v>
      </c>
      <c r="U42" s="80">
        <v>1.0</v>
      </c>
      <c r="V42" s="152"/>
      <c r="W42" s="80">
        <v>2.0</v>
      </c>
      <c r="X42" s="79"/>
      <c r="Y42" s="152"/>
      <c r="Z42" s="81">
        <v>3.0</v>
      </c>
      <c r="AB42" s="98" t="s">
        <v>123</v>
      </c>
      <c r="AC42" s="78">
        <f t="shared" si="33"/>
        <v>14</v>
      </c>
      <c r="AD42" s="157">
        <f t="shared" si="34"/>
        <v>2</v>
      </c>
      <c r="AE42" s="63">
        <f t="shared" si="35"/>
        <v>0.2916666667</v>
      </c>
      <c r="AF42" s="64">
        <f t="shared" si="36"/>
        <v>0.4666666667</v>
      </c>
      <c r="AG42" s="78"/>
      <c r="AH42" s="65">
        <v>2.0</v>
      </c>
      <c r="AI42" s="65">
        <v>1.0</v>
      </c>
      <c r="AJ42" s="66">
        <v>1.0</v>
      </c>
      <c r="AK42" s="68">
        <v>1.0</v>
      </c>
      <c r="AL42" s="65">
        <v>1.0</v>
      </c>
      <c r="AM42" s="66">
        <v>1.0</v>
      </c>
    </row>
    <row r="43">
      <c r="B43" s="141" t="s">
        <v>139</v>
      </c>
      <c r="C43" s="102">
        <f t="shared" si="25"/>
        <v>10</v>
      </c>
      <c r="D43" s="161">
        <f t="shared" si="26"/>
        <v>1.428571429</v>
      </c>
      <c r="E43" s="44">
        <f t="shared" si="27"/>
        <v>0.25</v>
      </c>
      <c r="F43" s="45">
        <f t="shared" si="28"/>
        <v>0.2666666667</v>
      </c>
      <c r="G43" s="86">
        <v>1.0</v>
      </c>
      <c r="H43" s="47"/>
      <c r="I43" s="46"/>
      <c r="J43" s="49">
        <v>3.0</v>
      </c>
      <c r="K43" s="47"/>
      <c r="L43" s="46">
        <v>2.0</v>
      </c>
      <c r="M43" s="49">
        <v>1.0</v>
      </c>
      <c r="O43" s="101" t="s">
        <v>142</v>
      </c>
      <c r="P43" s="102">
        <f t="shared" si="29"/>
        <v>4</v>
      </c>
      <c r="Q43" s="84">
        <f t="shared" si="30"/>
        <v>0.5714285714</v>
      </c>
      <c r="R43" s="44">
        <f t="shared" si="31"/>
        <v>0.08333333333</v>
      </c>
      <c r="S43" s="45">
        <f t="shared" si="32"/>
        <v>0.1333333333</v>
      </c>
      <c r="T43" s="47"/>
      <c r="U43" s="47"/>
      <c r="V43" s="46">
        <v>2.0</v>
      </c>
      <c r="W43" s="49">
        <v>2.0</v>
      </c>
      <c r="X43" s="83"/>
      <c r="Y43" s="46">
        <v>1.0</v>
      </c>
      <c r="Z43" s="49">
        <v>2.0</v>
      </c>
      <c r="AB43" s="162" t="s">
        <v>140</v>
      </c>
      <c r="AC43" s="152">
        <f t="shared" si="33"/>
        <v>9</v>
      </c>
      <c r="AD43" s="153">
        <f t="shared" si="34"/>
        <v>1.285714286</v>
      </c>
      <c r="AE43" s="154">
        <f t="shared" si="35"/>
        <v>0.2083333333</v>
      </c>
      <c r="AF43" s="155">
        <f t="shared" si="36"/>
        <v>0.2666666667</v>
      </c>
      <c r="AG43" s="152"/>
      <c r="AH43" s="80">
        <v>1.0</v>
      </c>
      <c r="AI43" s="80">
        <v>2.0</v>
      </c>
      <c r="AJ43" s="81">
        <v>1.0</v>
      </c>
      <c r="AK43" s="79"/>
      <c r="AL43" s="80">
        <v>2.0</v>
      </c>
      <c r="AM43" s="81">
        <v>1.0</v>
      </c>
    </row>
    <row r="44">
      <c r="AB44" s="101" t="s">
        <v>144</v>
      </c>
      <c r="AC44" s="102">
        <f t="shared" si="33"/>
        <v>0</v>
      </c>
      <c r="AD44" s="159">
        <f t="shared" si="34"/>
        <v>0</v>
      </c>
      <c r="AE44" s="44">
        <f t="shared" si="35"/>
        <v>0</v>
      </c>
      <c r="AF44" s="45">
        <f t="shared" si="36"/>
        <v>0</v>
      </c>
      <c r="AG44" s="46"/>
      <c r="AH44" s="46"/>
      <c r="AI44" s="46"/>
      <c r="AJ44" s="49">
        <v>4.0</v>
      </c>
      <c r="AK44" s="86"/>
      <c r="AL44" s="47"/>
      <c r="AM44" s="49">
        <v>3.0</v>
      </c>
    </row>
  </sheetData>
  <mergeCells count="5">
    <mergeCell ref="B1:M1"/>
    <mergeCell ref="O2:AA2"/>
    <mergeCell ref="B12:J12"/>
    <mergeCell ref="B23:J23"/>
    <mergeCell ref="B34:J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6" max="6" width="34.5"/>
  </cols>
  <sheetData>
    <row r="1">
      <c r="A1" s="1" t="s">
        <v>0</v>
      </c>
      <c r="B1" s="3"/>
      <c r="C1" s="1" t="s">
        <v>2</v>
      </c>
    </row>
    <row r="2">
      <c r="A2" s="1" t="s">
        <v>4</v>
      </c>
      <c r="B2" s="3"/>
      <c r="C2" s="1" t="s">
        <v>6</v>
      </c>
      <c r="D2" s="1" t="s">
        <v>7</v>
      </c>
      <c r="E2" s="1" t="s">
        <v>8</v>
      </c>
    </row>
    <row r="3">
      <c r="A3" s="9">
        <v>1.0</v>
      </c>
      <c r="B3" s="12" t="s">
        <v>12</v>
      </c>
      <c r="C3" s="9">
        <v>1.0</v>
      </c>
      <c r="D3" s="9">
        <v>1.0</v>
      </c>
      <c r="E3" s="16"/>
    </row>
    <row r="4">
      <c r="A4" s="9">
        <v>2.0</v>
      </c>
      <c r="B4" t="s">
        <v>18</v>
      </c>
      <c r="C4" s="9">
        <v>1.0</v>
      </c>
      <c r="D4" s="9">
        <v>2.0</v>
      </c>
      <c r="E4" s="16"/>
    </row>
    <row r="5">
      <c r="A5" s="9">
        <v>3.0</v>
      </c>
      <c r="B5" t="s">
        <v>20</v>
      </c>
      <c r="C5" s="9">
        <v>1.0</v>
      </c>
      <c r="D5" s="9">
        <v>3.0</v>
      </c>
      <c r="E5" s="16"/>
    </row>
    <row r="6">
      <c r="A6" s="9">
        <v>4.0</v>
      </c>
      <c r="B6" t="s">
        <v>25</v>
      </c>
      <c r="C6" s="9">
        <v>1.0</v>
      </c>
      <c r="D6" s="9">
        <v>4.0</v>
      </c>
      <c r="E6" s="16"/>
    </row>
    <row r="7">
      <c r="A7" s="9">
        <v>5.0</v>
      </c>
      <c r="B7" t="s">
        <v>26</v>
      </c>
      <c r="C7" s="9">
        <v>1.0</v>
      </c>
      <c r="D7" s="9">
        <v>5.0</v>
      </c>
      <c r="E7" s="16"/>
    </row>
    <row r="8">
      <c r="A8" s="9">
        <v>6.0</v>
      </c>
      <c r="B8" s="24" t="s">
        <v>28</v>
      </c>
      <c r="C8" s="9">
        <v>2.0</v>
      </c>
      <c r="D8" s="9">
        <v>1.0</v>
      </c>
      <c r="E8" s="16"/>
      <c r="F8" s="24" t="s">
        <v>30</v>
      </c>
    </row>
    <row r="9">
      <c r="A9" s="9">
        <v>7.0</v>
      </c>
      <c r="B9" s="24" t="s">
        <v>31</v>
      </c>
      <c r="C9" s="9">
        <v>2.0</v>
      </c>
      <c r="D9" s="9">
        <v>1.0</v>
      </c>
      <c r="E9" s="16"/>
      <c r="F9" s="24" t="s">
        <v>30</v>
      </c>
    </row>
    <row r="10">
      <c r="A10" s="27">
        <v>8.0</v>
      </c>
      <c r="B10" s="29" t="s">
        <v>33</v>
      </c>
      <c r="C10" s="27">
        <v>2.0</v>
      </c>
      <c r="D10" s="27">
        <v>2.0</v>
      </c>
      <c r="E10" s="27">
        <v>28.0</v>
      </c>
      <c r="F10" s="31"/>
    </row>
    <row r="11">
      <c r="A11" s="9">
        <v>9.0</v>
      </c>
      <c r="B11" t="s">
        <v>37</v>
      </c>
      <c r="C11" s="9">
        <v>2.0</v>
      </c>
      <c r="D11" s="9">
        <v>2.0</v>
      </c>
      <c r="E11" s="9">
        <v>24.0</v>
      </c>
    </row>
    <row r="12">
      <c r="A12" s="9">
        <v>10.0</v>
      </c>
      <c r="B12" s="33" t="s">
        <v>38</v>
      </c>
      <c r="C12" s="9">
        <v>2.0</v>
      </c>
      <c r="D12" s="9">
        <v>3.0</v>
      </c>
      <c r="E12" s="9">
        <v>21.0</v>
      </c>
    </row>
    <row r="13">
      <c r="A13" s="9">
        <v>11.0</v>
      </c>
      <c r="B13" t="s">
        <v>40</v>
      </c>
      <c r="C13" s="9">
        <v>2.0</v>
      </c>
      <c r="D13" s="9">
        <v>3.0</v>
      </c>
      <c r="E13" s="9">
        <v>20.0</v>
      </c>
    </row>
    <row r="14">
      <c r="A14" s="9">
        <v>12.0</v>
      </c>
      <c r="B14" t="s">
        <v>41</v>
      </c>
      <c r="C14" s="9">
        <v>2.0</v>
      </c>
      <c r="D14" s="9">
        <v>4.0</v>
      </c>
      <c r="E14" s="9">
        <v>20.0</v>
      </c>
    </row>
    <row r="15">
      <c r="A15" s="9">
        <v>13.0</v>
      </c>
      <c r="B15" t="s">
        <v>45</v>
      </c>
      <c r="C15" s="9">
        <v>2.0</v>
      </c>
      <c r="D15" s="9">
        <v>4.0</v>
      </c>
      <c r="E15" s="9">
        <v>17.0</v>
      </c>
    </row>
    <row r="16">
      <c r="A16" s="9">
        <v>14.0</v>
      </c>
      <c r="B16" t="s">
        <v>47</v>
      </c>
      <c r="C16" s="9">
        <v>2.0</v>
      </c>
      <c r="D16" s="9">
        <v>5.0</v>
      </c>
      <c r="E16" s="9">
        <v>16.0</v>
      </c>
    </row>
    <row r="17">
      <c r="A17" s="9">
        <v>15.0</v>
      </c>
      <c r="B17" t="s">
        <v>49</v>
      </c>
      <c r="C17" s="9">
        <v>2.0</v>
      </c>
      <c r="D17" s="9">
        <v>5.0</v>
      </c>
      <c r="E17" s="9">
        <v>10.0</v>
      </c>
    </row>
    <row r="18">
      <c r="A18" s="9">
        <v>16.0</v>
      </c>
      <c r="B18" t="s">
        <v>53</v>
      </c>
      <c r="C18" s="9">
        <v>3.0</v>
      </c>
      <c r="D18" s="9">
        <v>1.0</v>
      </c>
      <c r="E18" s="16"/>
      <c r="F18" s="24" t="s">
        <v>30</v>
      </c>
    </row>
    <row r="19">
      <c r="A19" s="9">
        <v>17.0</v>
      </c>
      <c r="B19" t="s">
        <v>58</v>
      </c>
      <c r="C19" s="9">
        <v>3.0</v>
      </c>
      <c r="D19" s="9">
        <v>1.0</v>
      </c>
      <c r="E19" s="16"/>
      <c r="F19" s="24" t="s">
        <v>30</v>
      </c>
    </row>
    <row r="20">
      <c r="A20" s="9">
        <v>18.0</v>
      </c>
      <c r="B20" t="s">
        <v>60</v>
      </c>
      <c r="C20" s="9">
        <v>3.0</v>
      </c>
      <c r="D20" s="9">
        <v>1.0</v>
      </c>
      <c r="E20" s="16"/>
      <c r="F20" s="24" t="s">
        <v>30</v>
      </c>
    </row>
    <row r="21">
      <c r="A21" s="9">
        <v>19.0</v>
      </c>
      <c r="B21" s="24" t="s">
        <v>63</v>
      </c>
      <c r="C21" s="9">
        <v>3.0</v>
      </c>
      <c r="D21" s="9">
        <v>2.0</v>
      </c>
      <c r="E21" s="16"/>
      <c r="F21" s="24" t="s">
        <v>65</v>
      </c>
    </row>
    <row r="22">
      <c r="A22" s="9">
        <v>20.0</v>
      </c>
      <c r="B22" t="s">
        <v>66</v>
      </c>
      <c r="C22" s="9">
        <v>1.0</v>
      </c>
      <c r="D22" s="9">
        <v>6.0</v>
      </c>
      <c r="E22" s="16"/>
      <c r="F22" s="24" t="s">
        <v>68</v>
      </c>
    </row>
    <row r="23">
      <c r="A23" s="9">
        <v>21.0</v>
      </c>
      <c r="B23" s="33" t="s">
        <v>70</v>
      </c>
      <c r="C23" s="9">
        <v>1.0</v>
      </c>
      <c r="D23" s="9">
        <v>7.0</v>
      </c>
      <c r="E23" s="16"/>
      <c r="F23" s="24" t="s">
        <v>68</v>
      </c>
    </row>
    <row r="24">
      <c r="A24" s="27">
        <v>22.0</v>
      </c>
      <c r="B24" s="41" t="s">
        <v>71</v>
      </c>
      <c r="C24" s="27">
        <v>3.0</v>
      </c>
      <c r="D24" s="27">
        <v>2.0</v>
      </c>
      <c r="E24" s="42"/>
      <c r="F24" s="41" t="s">
        <v>74</v>
      </c>
    </row>
    <row r="25">
      <c r="A25" s="9">
        <v>23.0</v>
      </c>
      <c r="B25" s="24" t="s">
        <v>75</v>
      </c>
      <c r="C25" s="9">
        <v>3.0</v>
      </c>
      <c r="D25" s="9">
        <v>2.0</v>
      </c>
      <c r="E25" s="16"/>
      <c r="F25" s="24" t="s">
        <v>76</v>
      </c>
    </row>
    <row r="26">
      <c r="A26" s="9">
        <v>24.0</v>
      </c>
      <c r="B26" t="s">
        <v>78</v>
      </c>
      <c r="C26" s="9">
        <v>3.0</v>
      </c>
      <c r="D26" s="9">
        <v>3.0</v>
      </c>
      <c r="E26" s="9">
        <v>25.0</v>
      </c>
    </row>
    <row r="27">
      <c r="A27" s="9">
        <v>25.0</v>
      </c>
      <c r="B27" t="s">
        <v>79</v>
      </c>
      <c r="C27" s="9">
        <v>3.0</v>
      </c>
      <c r="D27" s="9">
        <v>3.0</v>
      </c>
      <c r="E27" s="9">
        <v>22.0</v>
      </c>
    </row>
    <row r="28">
      <c r="A28" s="9">
        <v>26.0</v>
      </c>
      <c r="B28" t="s">
        <v>81</v>
      </c>
      <c r="C28" s="9">
        <v>3.0</v>
      </c>
      <c r="D28" s="9">
        <v>3.0</v>
      </c>
      <c r="E28" s="9">
        <v>19.0</v>
      </c>
    </row>
    <row r="29">
      <c r="A29" s="9">
        <v>27.0</v>
      </c>
      <c r="B29" t="s">
        <v>83</v>
      </c>
      <c r="C29" s="9">
        <v>3.0</v>
      </c>
      <c r="D29" s="9">
        <v>4.0</v>
      </c>
      <c r="E29" s="9">
        <v>19.0</v>
      </c>
    </row>
    <row r="30">
      <c r="A30" s="9">
        <v>28.0</v>
      </c>
      <c r="B30" t="s">
        <v>84</v>
      </c>
      <c r="C30" s="9">
        <v>3.0</v>
      </c>
      <c r="D30" s="9">
        <v>4.0</v>
      </c>
      <c r="E30" s="9">
        <v>15.0</v>
      </c>
    </row>
    <row r="31">
      <c r="A31" s="9">
        <v>29.0</v>
      </c>
      <c r="B31" t="s">
        <v>85</v>
      </c>
      <c r="C31" s="9">
        <v>3.0</v>
      </c>
      <c r="D31" s="9">
        <v>4.0</v>
      </c>
      <c r="E31" s="9">
        <v>13.0</v>
      </c>
    </row>
    <row r="32">
      <c r="A32" s="9">
        <v>30.0</v>
      </c>
      <c r="B32" t="s">
        <v>87</v>
      </c>
      <c r="C32" s="9">
        <v>3.0</v>
      </c>
      <c r="D32" s="9">
        <v>5.0</v>
      </c>
      <c r="E32" s="9">
        <v>15.0</v>
      </c>
    </row>
    <row r="33">
      <c r="A33" s="9">
        <v>31.0</v>
      </c>
      <c r="B33" t="s">
        <v>88</v>
      </c>
      <c r="C33" s="9">
        <v>3.0</v>
      </c>
      <c r="D33" s="9">
        <v>5.0</v>
      </c>
      <c r="E33" s="9">
        <v>13.0</v>
      </c>
    </row>
    <row r="34">
      <c r="A34" s="9">
        <v>32.0</v>
      </c>
      <c r="B34" t="s">
        <v>90</v>
      </c>
      <c r="C34" s="9">
        <v>3.0</v>
      </c>
      <c r="D34" s="9">
        <v>5.0</v>
      </c>
      <c r="E34" s="9">
        <v>12.0</v>
      </c>
    </row>
    <row r="35">
      <c r="A35" s="9">
        <v>33.0</v>
      </c>
      <c r="B35" s="33" t="s">
        <v>91</v>
      </c>
      <c r="C35" s="9">
        <v>4.0</v>
      </c>
      <c r="D35" s="9">
        <v>1.0</v>
      </c>
      <c r="E35" s="16"/>
      <c r="F35" s="24" t="s">
        <v>30</v>
      </c>
    </row>
    <row r="36">
      <c r="A36" s="9">
        <v>34.0</v>
      </c>
      <c r="B36" s="33" t="s">
        <v>92</v>
      </c>
      <c r="C36" s="9">
        <v>4.0</v>
      </c>
      <c r="D36" s="9">
        <v>1.0</v>
      </c>
      <c r="E36" s="16"/>
      <c r="F36" s="24" t="s">
        <v>30</v>
      </c>
    </row>
    <row r="37">
      <c r="A37" s="9">
        <v>35.0</v>
      </c>
      <c r="B37" s="33" t="s">
        <v>93</v>
      </c>
      <c r="C37" s="9">
        <v>4.0</v>
      </c>
      <c r="D37" s="9">
        <v>1.0</v>
      </c>
      <c r="E37" s="16"/>
      <c r="F37" s="24" t="s">
        <v>30</v>
      </c>
    </row>
    <row r="38">
      <c r="A38" s="9">
        <v>36.0</v>
      </c>
      <c r="B38" s="33" t="s">
        <v>94</v>
      </c>
      <c r="C38" s="9">
        <v>4.0</v>
      </c>
      <c r="D38" s="9">
        <v>2.0</v>
      </c>
      <c r="E38" s="16"/>
      <c r="F38" s="24" t="s">
        <v>30</v>
      </c>
    </row>
    <row r="39">
      <c r="A39" s="9">
        <v>37.0</v>
      </c>
      <c r="B39" t="s">
        <v>95</v>
      </c>
      <c r="C39" s="9">
        <v>4.0</v>
      </c>
      <c r="D39" s="9">
        <v>2.0</v>
      </c>
      <c r="E39" s="16"/>
      <c r="F39" s="24" t="s">
        <v>30</v>
      </c>
    </row>
    <row r="40">
      <c r="A40" s="9">
        <v>38.0</v>
      </c>
      <c r="B40" s="33" t="s">
        <v>97</v>
      </c>
      <c r="C40" s="9">
        <v>4.0</v>
      </c>
      <c r="D40" s="9">
        <v>2.0</v>
      </c>
      <c r="E40" s="16"/>
      <c r="F40" s="24" t="s">
        <v>30</v>
      </c>
    </row>
    <row r="41">
      <c r="A41" s="9">
        <v>39.0</v>
      </c>
      <c r="B41" t="s">
        <v>98</v>
      </c>
      <c r="C41" s="9">
        <v>3.0</v>
      </c>
      <c r="D41" s="9">
        <v>6.0</v>
      </c>
      <c r="E41" s="16"/>
      <c r="F41" s="24" t="s">
        <v>68</v>
      </c>
    </row>
    <row r="42">
      <c r="A42" s="9">
        <v>40.0</v>
      </c>
      <c r="B42" t="s">
        <v>100</v>
      </c>
      <c r="C42" s="9">
        <v>3.0</v>
      </c>
      <c r="D42" s="9">
        <v>6.0</v>
      </c>
      <c r="E42" s="16"/>
      <c r="F42" s="24" t="s">
        <v>68</v>
      </c>
    </row>
    <row r="43">
      <c r="A43" s="9">
        <v>41.0</v>
      </c>
      <c r="B43" t="s">
        <v>102</v>
      </c>
      <c r="C43" s="9">
        <v>3.0</v>
      </c>
      <c r="D43" s="9">
        <v>7.0</v>
      </c>
      <c r="E43" s="16"/>
      <c r="F43" s="24" t="s">
        <v>68</v>
      </c>
    </row>
    <row r="44">
      <c r="A44" s="9">
        <v>42.0</v>
      </c>
      <c r="B44" t="s">
        <v>103</v>
      </c>
      <c r="C44" s="9">
        <v>3.0</v>
      </c>
      <c r="D44" s="9">
        <v>7.0</v>
      </c>
      <c r="E44" s="16"/>
      <c r="F44" s="24" t="s">
        <v>68</v>
      </c>
    </row>
    <row r="45">
      <c r="A45" s="27">
        <v>43.0</v>
      </c>
      <c r="B45" s="51" t="s">
        <v>104</v>
      </c>
      <c r="C45" s="27">
        <v>4.0</v>
      </c>
      <c r="D45" s="27">
        <v>3.0</v>
      </c>
      <c r="E45" s="42">
        <v>21.0</v>
      </c>
      <c r="F45" s="31"/>
    </row>
    <row r="46">
      <c r="A46" s="9">
        <v>44.0</v>
      </c>
      <c r="B46" s="33" t="s">
        <v>106</v>
      </c>
      <c r="C46" s="9">
        <v>4.0</v>
      </c>
      <c r="D46" s="9">
        <v>3.0</v>
      </c>
      <c r="E46" s="16">
        <v>18.0</v>
      </c>
    </row>
    <row r="47">
      <c r="A47" s="9">
        <v>45.0</v>
      </c>
      <c r="B47" s="33" t="s">
        <v>107</v>
      </c>
      <c r="C47" s="9">
        <v>4.0</v>
      </c>
      <c r="D47" s="9">
        <v>3.0</v>
      </c>
      <c r="E47" s="16">
        <v>17.0</v>
      </c>
    </row>
    <row r="48">
      <c r="A48" s="9">
        <v>46.0</v>
      </c>
      <c r="B48" t="s">
        <v>111</v>
      </c>
      <c r="C48" s="9">
        <v>4.0</v>
      </c>
      <c r="D48" s="9">
        <v>4.0</v>
      </c>
      <c r="E48" s="16">
        <v>20.0</v>
      </c>
    </row>
    <row r="49">
      <c r="A49" s="9">
        <v>47.0</v>
      </c>
      <c r="B49" s="33" t="s">
        <v>112</v>
      </c>
      <c r="C49" s="9">
        <v>4.0</v>
      </c>
      <c r="D49" s="9">
        <v>4.0</v>
      </c>
      <c r="E49" s="16">
        <v>17.0</v>
      </c>
    </row>
    <row r="50">
      <c r="A50" s="9">
        <v>48.0</v>
      </c>
      <c r="B50" s="33" t="s">
        <v>115</v>
      </c>
      <c r="C50" s="9">
        <v>4.0</v>
      </c>
      <c r="D50" s="9">
        <v>4.0</v>
      </c>
      <c r="E50" s="16">
        <v>13.0</v>
      </c>
    </row>
    <row r="51">
      <c r="A51" s="9">
        <v>49.0</v>
      </c>
      <c r="B51" s="33" t="s">
        <v>117</v>
      </c>
      <c r="C51" s="9">
        <v>4.0</v>
      </c>
      <c r="D51" s="9">
        <v>5.0</v>
      </c>
      <c r="E51" s="16">
        <v>15.0</v>
      </c>
    </row>
    <row r="52">
      <c r="A52" s="9">
        <v>50.0</v>
      </c>
      <c r="B52" s="33" t="s">
        <v>120</v>
      </c>
      <c r="C52" s="9">
        <v>4.0</v>
      </c>
      <c r="D52" s="9">
        <v>5.0</v>
      </c>
      <c r="E52" s="16">
        <v>13.0</v>
      </c>
    </row>
    <row r="53">
      <c r="A53" s="9">
        <v>51.0</v>
      </c>
      <c r="B53" s="33" t="s">
        <v>122</v>
      </c>
      <c r="C53" s="9">
        <v>4.0</v>
      </c>
      <c r="D53" s="9">
        <v>5.0</v>
      </c>
      <c r="E53" s="16">
        <v>10.0</v>
      </c>
    </row>
    <row r="54">
      <c r="A54" s="9">
        <v>52.0</v>
      </c>
      <c r="B54" s="33" t="s">
        <v>123</v>
      </c>
      <c r="C54" s="9">
        <v>4.0</v>
      </c>
      <c r="D54" s="9">
        <v>6.0</v>
      </c>
      <c r="E54" s="16">
        <v>14.0</v>
      </c>
    </row>
    <row r="55">
      <c r="A55" s="9">
        <v>53.0</v>
      </c>
      <c r="B55" t="s">
        <v>124</v>
      </c>
      <c r="C55" s="9">
        <v>3.0</v>
      </c>
      <c r="D55" s="9">
        <v>6.0</v>
      </c>
      <c r="E55" s="16"/>
      <c r="F55" s="24" t="s">
        <v>68</v>
      </c>
    </row>
    <row r="56">
      <c r="A56" s="9">
        <v>54.0</v>
      </c>
      <c r="B56" t="s">
        <v>125</v>
      </c>
      <c r="C56" s="9">
        <v>3.0</v>
      </c>
      <c r="D56" s="9">
        <v>6.0</v>
      </c>
      <c r="E56" s="16"/>
      <c r="F56" s="24" t="s">
        <v>68</v>
      </c>
    </row>
    <row r="57">
      <c r="A57" s="9">
        <v>55.0</v>
      </c>
      <c r="B57" t="s">
        <v>126</v>
      </c>
      <c r="C57" s="9">
        <v>3.0</v>
      </c>
      <c r="D57" s="9">
        <v>6.0</v>
      </c>
      <c r="E57" s="16"/>
      <c r="F57" s="24" t="s">
        <v>68</v>
      </c>
    </row>
    <row r="58">
      <c r="A58" s="9">
        <v>56.0</v>
      </c>
      <c r="B58" t="s">
        <v>128</v>
      </c>
      <c r="C58" s="9">
        <v>3.0</v>
      </c>
      <c r="D58" s="9">
        <v>7.0</v>
      </c>
      <c r="E58" s="16"/>
      <c r="F58" s="24" t="s">
        <v>68</v>
      </c>
    </row>
    <row r="59">
      <c r="A59" s="9">
        <v>57.0</v>
      </c>
      <c r="B59" t="s">
        <v>131</v>
      </c>
      <c r="C59" s="9">
        <v>3.0</v>
      </c>
      <c r="D59" s="9">
        <v>7.0</v>
      </c>
      <c r="E59" s="16"/>
      <c r="F59" s="24" t="s">
        <v>68</v>
      </c>
    </row>
    <row r="60">
      <c r="A60" s="9">
        <v>58.0</v>
      </c>
      <c r="B60" s="72" t="s">
        <v>133</v>
      </c>
      <c r="C60" s="9">
        <v>3.0</v>
      </c>
      <c r="D60" s="9">
        <v>7.0</v>
      </c>
      <c r="E60" s="16"/>
      <c r="F60" s="24" t="s">
        <v>68</v>
      </c>
    </row>
    <row r="61">
      <c r="A61" s="9">
        <v>59.0</v>
      </c>
      <c r="B61" t="s">
        <v>136</v>
      </c>
      <c r="C61" s="9">
        <v>4.0</v>
      </c>
      <c r="D61" s="9">
        <v>6.0</v>
      </c>
      <c r="E61" s="16">
        <v>12.0</v>
      </c>
      <c r="F61" s="24" t="s">
        <v>68</v>
      </c>
    </row>
    <row r="62">
      <c r="A62" s="9">
        <v>60.0</v>
      </c>
      <c r="B62" t="s">
        <v>137</v>
      </c>
      <c r="C62" s="9">
        <v>4.0</v>
      </c>
      <c r="D62" s="9">
        <v>6.0</v>
      </c>
      <c r="E62" s="16">
        <v>9.0</v>
      </c>
      <c r="F62" s="24" t="s">
        <v>68</v>
      </c>
    </row>
    <row r="63">
      <c r="A63" s="9">
        <v>61.0</v>
      </c>
      <c r="B63" t="s">
        <v>139</v>
      </c>
      <c r="C63" s="9">
        <v>4.0</v>
      </c>
      <c r="D63" s="9">
        <v>7.0</v>
      </c>
      <c r="E63" s="16">
        <v>10.0</v>
      </c>
      <c r="F63" s="24" t="s">
        <v>68</v>
      </c>
    </row>
    <row r="64">
      <c r="A64" s="9">
        <v>62.0</v>
      </c>
      <c r="B64" s="33" t="s">
        <v>140</v>
      </c>
      <c r="C64" s="9">
        <v>4.0</v>
      </c>
      <c r="D64" s="9">
        <v>7.0</v>
      </c>
      <c r="E64" s="16">
        <v>9.0</v>
      </c>
      <c r="F64" s="24" t="s">
        <v>68</v>
      </c>
    </row>
    <row r="65">
      <c r="A65" s="9">
        <v>63.0</v>
      </c>
      <c r="B65" t="s">
        <v>142</v>
      </c>
      <c r="C65" s="9">
        <v>4.0</v>
      </c>
      <c r="D65" s="9">
        <v>7.0</v>
      </c>
      <c r="E65" s="16">
        <v>4.0</v>
      </c>
      <c r="F65" s="24" t="s">
        <v>68</v>
      </c>
    </row>
    <row r="66">
      <c r="A66" s="9">
        <v>64.0</v>
      </c>
      <c r="B66" t="s">
        <v>144</v>
      </c>
      <c r="C66" s="9">
        <v>4.0</v>
      </c>
      <c r="D66" s="9">
        <v>8.0</v>
      </c>
      <c r="E66" s="16">
        <v>0.0</v>
      </c>
      <c r="F66" s="24" t="s">
        <v>68</v>
      </c>
    </row>
    <row r="67">
      <c r="A67" s="16"/>
      <c r="C67" s="16"/>
      <c r="D67" s="16"/>
      <c r="E67" s="16"/>
    </row>
    <row r="68">
      <c r="A68" s="16"/>
      <c r="D68" s="9"/>
      <c r="E68" s="16"/>
    </row>
    <row r="69">
      <c r="A69" s="16"/>
      <c r="D69" s="9"/>
      <c r="E69" s="16"/>
    </row>
    <row r="70">
      <c r="A70" s="16"/>
      <c r="D70" s="9"/>
      <c r="E70" s="16"/>
    </row>
    <row r="71">
      <c r="A71" s="16"/>
      <c r="D71" s="9"/>
      <c r="E71" s="16"/>
    </row>
    <row r="72">
      <c r="A72" s="16"/>
      <c r="D72" s="9"/>
      <c r="E72" s="16"/>
    </row>
    <row r="73">
      <c r="A73" s="16"/>
      <c r="D73" s="9"/>
      <c r="E73" s="16"/>
    </row>
    <row r="74">
      <c r="A74" s="16"/>
      <c r="D74" s="9"/>
      <c r="E74" s="16"/>
    </row>
    <row r="75">
      <c r="A75" s="16"/>
      <c r="D75" s="9"/>
      <c r="E75" s="16"/>
    </row>
    <row r="76">
      <c r="A76" s="16"/>
      <c r="D76" s="9"/>
      <c r="E76" s="16"/>
    </row>
    <row r="77">
      <c r="A77" s="16"/>
      <c r="D77" s="9"/>
      <c r="E77" s="16"/>
    </row>
    <row r="78">
      <c r="A78" s="16"/>
      <c r="D78" s="9"/>
      <c r="E78" s="16"/>
    </row>
    <row r="79">
      <c r="A79" s="16"/>
      <c r="D79" s="9"/>
      <c r="E79" s="16"/>
    </row>
    <row r="80">
      <c r="A80" s="16"/>
      <c r="D80" s="9"/>
      <c r="E80" s="16"/>
    </row>
    <row r="81">
      <c r="A81" s="16"/>
      <c r="D81" s="9"/>
      <c r="E81" s="16"/>
    </row>
    <row r="82">
      <c r="A82" s="16"/>
      <c r="D82" s="9"/>
      <c r="E82" s="16"/>
    </row>
    <row r="83">
      <c r="A83" s="16"/>
      <c r="D83" s="9"/>
      <c r="E83" s="16"/>
    </row>
    <row r="84">
      <c r="A84" s="16"/>
      <c r="D84" s="9"/>
      <c r="E84" s="16"/>
    </row>
    <row r="85">
      <c r="A85" s="16"/>
      <c r="D85" s="9"/>
      <c r="E85" s="16"/>
    </row>
    <row r="86">
      <c r="A86" s="16"/>
      <c r="D86" s="9"/>
      <c r="E86" s="16"/>
    </row>
    <row r="87">
      <c r="A87" s="16"/>
      <c r="D87" s="9"/>
      <c r="E87" s="16"/>
    </row>
    <row r="88">
      <c r="A88" s="16"/>
      <c r="D88" s="9"/>
      <c r="E88" s="16"/>
    </row>
    <row r="89">
      <c r="A89" s="16"/>
      <c r="D89" s="9"/>
      <c r="E89" s="16"/>
    </row>
    <row r="90">
      <c r="A90" s="16"/>
      <c r="C90" s="16"/>
      <c r="D90" s="16"/>
      <c r="E90" s="16"/>
    </row>
    <row r="91">
      <c r="A91" s="16"/>
      <c r="C91" s="16"/>
      <c r="D91" s="16"/>
      <c r="E91" s="16"/>
    </row>
    <row r="92">
      <c r="A92" s="16"/>
      <c r="C92" s="16"/>
      <c r="D92" s="16"/>
      <c r="E92" s="16"/>
    </row>
    <row r="93">
      <c r="A93" s="16"/>
      <c r="C93" s="16"/>
      <c r="D93" s="16"/>
      <c r="E93" s="16"/>
    </row>
    <row r="94">
      <c r="A94" s="16"/>
      <c r="C94" s="16"/>
      <c r="D94" s="16"/>
      <c r="E94" s="16"/>
    </row>
    <row r="95">
      <c r="A95" s="16"/>
      <c r="C95" s="16"/>
      <c r="D95" s="16"/>
      <c r="E95" s="16"/>
    </row>
    <row r="96">
      <c r="A96" s="16"/>
      <c r="C96" s="16"/>
      <c r="D96" s="16"/>
      <c r="E96" s="16"/>
    </row>
    <row r="97">
      <c r="A97" s="16"/>
      <c r="C97" s="16"/>
      <c r="D97" s="16"/>
      <c r="E97" s="16"/>
    </row>
    <row r="98">
      <c r="A98" s="16"/>
      <c r="C98" s="16"/>
      <c r="D98" s="16"/>
      <c r="E98" s="16"/>
    </row>
    <row r="99">
      <c r="A99" s="16"/>
      <c r="C99" s="16"/>
      <c r="D99" s="16"/>
      <c r="E99" s="16"/>
    </row>
    <row r="100">
      <c r="A100" s="16"/>
      <c r="C100" s="16"/>
      <c r="D100" s="16"/>
      <c r="E100" s="16"/>
    </row>
    <row r="101">
      <c r="A101" s="16"/>
      <c r="C101" s="16"/>
      <c r="D101" s="16"/>
      <c r="E101" s="16"/>
    </row>
    <row r="102">
      <c r="A102" s="16"/>
      <c r="C102" s="16"/>
      <c r="D102" s="16"/>
      <c r="E102" s="16"/>
    </row>
    <row r="103">
      <c r="A103" s="16"/>
      <c r="C103" s="16"/>
      <c r="D103" s="16"/>
      <c r="E103" s="16"/>
    </row>
    <row r="104">
      <c r="A104" s="16"/>
      <c r="C104" s="16"/>
      <c r="D104" s="16"/>
      <c r="E104" s="16"/>
    </row>
    <row r="105">
      <c r="A105" s="16"/>
      <c r="C105" s="16"/>
      <c r="D105" s="16"/>
      <c r="E105" s="16"/>
    </row>
    <row r="106">
      <c r="A106" s="16"/>
      <c r="C106" s="16"/>
      <c r="D106" s="16"/>
      <c r="E106" s="16"/>
    </row>
    <row r="107">
      <c r="A107" s="16"/>
      <c r="C107" s="16"/>
      <c r="D107" s="16"/>
      <c r="E107" s="16"/>
    </row>
    <row r="108">
      <c r="A108" s="16"/>
      <c r="C108" s="16"/>
      <c r="D108" s="16"/>
      <c r="E108" s="16"/>
    </row>
    <row r="109">
      <c r="A109" s="16"/>
      <c r="C109" s="16"/>
      <c r="D109" s="16"/>
      <c r="E109" s="16"/>
    </row>
    <row r="110">
      <c r="A110" s="16"/>
      <c r="C110" s="16"/>
      <c r="D110" s="16"/>
      <c r="E110" s="16"/>
    </row>
    <row r="111">
      <c r="A111" s="16"/>
      <c r="C111" s="16"/>
      <c r="D111" s="16"/>
      <c r="E111" s="16"/>
    </row>
    <row r="112">
      <c r="A112" s="16"/>
      <c r="C112" s="16"/>
      <c r="D112" s="16"/>
      <c r="E112" s="16"/>
    </row>
    <row r="113">
      <c r="A113" s="16"/>
      <c r="C113" s="16"/>
      <c r="D113" s="16"/>
      <c r="E113" s="16"/>
    </row>
    <row r="114">
      <c r="A114" s="16"/>
      <c r="C114" s="16"/>
      <c r="D114" s="16"/>
      <c r="E114" s="16"/>
    </row>
    <row r="115">
      <c r="A115" s="16"/>
      <c r="C115" s="16"/>
      <c r="D115" s="16"/>
      <c r="E115" s="16"/>
    </row>
    <row r="116">
      <c r="A116" s="16"/>
      <c r="C116" s="16"/>
      <c r="D116" s="16"/>
      <c r="E116" s="16"/>
    </row>
    <row r="117">
      <c r="A117" s="16"/>
      <c r="C117" s="16"/>
      <c r="D117" s="16"/>
      <c r="E117" s="16"/>
    </row>
    <row r="118">
      <c r="A118" s="16"/>
      <c r="C118" s="16"/>
      <c r="D118" s="16"/>
      <c r="E118" s="16"/>
    </row>
    <row r="119">
      <c r="A119" s="16"/>
      <c r="C119" s="16"/>
      <c r="D119" s="16"/>
      <c r="E119" s="16"/>
    </row>
    <row r="120">
      <c r="A120" s="16"/>
      <c r="C120" s="16"/>
      <c r="D120" s="16"/>
      <c r="E120" s="16"/>
    </row>
    <row r="121">
      <c r="A121" s="16"/>
      <c r="C121" s="16"/>
      <c r="D121" s="16"/>
      <c r="E121" s="16"/>
    </row>
    <row r="122">
      <c r="A122" s="16"/>
      <c r="C122" s="16"/>
      <c r="D122" s="16"/>
      <c r="E122" s="16"/>
    </row>
    <row r="123">
      <c r="A123" s="16"/>
      <c r="C123" s="16"/>
      <c r="D123" s="16"/>
      <c r="E123" s="16"/>
    </row>
    <row r="124">
      <c r="A124" s="16"/>
      <c r="C124" s="16"/>
      <c r="D124" s="16"/>
      <c r="E124" s="16"/>
    </row>
    <row r="125">
      <c r="A125" s="16"/>
      <c r="C125" s="16"/>
      <c r="D125" s="16"/>
      <c r="E125" s="16"/>
    </row>
    <row r="126">
      <c r="A126" s="16"/>
      <c r="C126" s="16"/>
      <c r="D126" s="16"/>
      <c r="E126" s="16"/>
    </row>
    <row r="127">
      <c r="A127" s="16"/>
      <c r="C127" s="16"/>
      <c r="D127" s="16"/>
      <c r="E127" s="16"/>
    </row>
    <row r="128">
      <c r="A128" s="16"/>
      <c r="C128" s="16"/>
      <c r="D128" s="16"/>
      <c r="E128" s="16"/>
    </row>
    <row r="129">
      <c r="A129" s="16"/>
      <c r="C129" s="16"/>
      <c r="D129" s="16"/>
      <c r="E129" s="16"/>
    </row>
    <row r="130">
      <c r="A130" s="16"/>
      <c r="C130" s="16"/>
      <c r="D130" s="16"/>
      <c r="E130" s="16"/>
    </row>
    <row r="131">
      <c r="A131" s="16"/>
      <c r="C131" s="16"/>
      <c r="D131" s="16"/>
      <c r="E131" s="16"/>
    </row>
    <row r="132">
      <c r="A132" s="16"/>
      <c r="C132" s="16"/>
      <c r="D132" s="16"/>
      <c r="E132" s="16"/>
    </row>
    <row r="133">
      <c r="A133" s="16"/>
      <c r="C133" s="16"/>
      <c r="D133" s="16"/>
      <c r="E133" s="16"/>
    </row>
    <row r="134">
      <c r="A134" s="16"/>
      <c r="C134" s="16"/>
      <c r="D134" s="16"/>
      <c r="E134" s="16"/>
    </row>
    <row r="135">
      <c r="A135" s="16"/>
      <c r="C135" s="16"/>
      <c r="D135" s="16"/>
      <c r="E135" s="16"/>
    </row>
    <row r="136">
      <c r="A136" s="16"/>
      <c r="C136" s="16"/>
      <c r="D136" s="16"/>
      <c r="E136" s="16"/>
    </row>
    <row r="137">
      <c r="A137" s="16"/>
      <c r="C137" s="16"/>
      <c r="D137" s="16"/>
      <c r="E137" s="16"/>
    </row>
    <row r="138">
      <c r="A138" s="16"/>
      <c r="C138" s="16"/>
      <c r="D138" s="16"/>
      <c r="E138" s="16"/>
    </row>
    <row r="139">
      <c r="A139" s="16"/>
      <c r="C139" s="16"/>
      <c r="D139" s="16"/>
      <c r="E139" s="16"/>
    </row>
    <row r="140">
      <c r="A140" s="16"/>
      <c r="C140" s="16"/>
      <c r="D140" s="16"/>
      <c r="E140" s="16"/>
    </row>
    <row r="141">
      <c r="A141" s="16"/>
      <c r="C141" s="16"/>
      <c r="D141" s="16"/>
      <c r="E141" s="16"/>
    </row>
    <row r="142">
      <c r="A142" s="16"/>
      <c r="C142" s="16"/>
      <c r="D142" s="16"/>
      <c r="E142" s="16"/>
    </row>
    <row r="143">
      <c r="A143" s="16"/>
      <c r="C143" s="16"/>
      <c r="D143" s="16"/>
      <c r="E143" s="16"/>
    </row>
    <row r="144">
      <c r="A144" s="16"/>
      <c r="C144" s="16"/>
      <c r="D144" s="16"/>
      <c r="E144" s="16"/>
    </row>
    <row r="145">
      <c r="A145" s="16"/>
      <c r="C145" s="16"/>
      <c r="D145" s="16"/>
      <c r="E145" s="16"/>
    </row>
    <row r="146">
      <c r="A146" s="16"/>
      <c r="C146" s="16"/>
      <c r="D146" s="16"/>
      <c r="E146" s="16"/>
    </row>
    <row r="147">
      <c r="A147" s="16"/>
      <c r="C147" s="16"/>
      <c r="D147" s="16"/>
      <c r="E147" s="16"/>
    </row>
    <row r="148">
      <c r="A148" s="16"/>
      <c r="C148" s="16"/>
      <c r="D148" s="16"/>
      <c r="E148" s="16"/>
    </row>
    <row r="149">
      <c r="A149" s="16"/>
      <c r="C149" s="16"/>
      <c r="D149" s="16"/>
      <c r="E149" s="16"/>
    </row>
    <row r="150">
      <c r="A150" s="16"/>
      <c r="C150" s="16"/>
      <c r="D150" s="16"/>
      <c r="E150" s="16"/>
    </row>
    <row r="151">
      <c r="A151" s="16"/>
      <c r="C151" s="16"/>
      <c r="D151" s="16"/>
      <c r="E151" s="16"/>
    </row>
    <row r="152">
      <c r="A152" s="16"/>
      <c r="C152" s="16"/>
      <c r="D152" s="16"/>
      <c r="E152" s="16"/>
    </row>
    <row r="153">
      <c r="A153" s="16"/>
      <c r="C153" s="16"/>
      <c r="D153" s="16"/>
      <c r="E153" s="16"/>
    </row>
    <row r="154">
      <c r="A154" s="16"/>
      <c r="C154" s="16"/>
      <c r="D154" s="16"/>
      <c r="E154" s="16"/>
    </row>
    <row r="155">
      <c r="A155" s="16"/>
      <c r="C155" s="16"/>
      <c r="D155" s="16"/>
      <c r="E155" s="16"/>
    </row>
    <row r="156">
      <c r="A156" s="16"/>
      <c r="C156" s="16"/>
      <c r="D156" s="16"/>
      <c r="E156" s="16"/>
    </row>
    <row r="157">
      <c r="A157" s="16"/>
      <c r="C157" s="16"/>
      <c r="D157" s="16"/>
      <c r="E157" s="16"/>
    </row>
    <row r="158">
      <c r="A158" s="16"/>
      <c r="C158" s="16"/>
      <c r="D158" s="16"/>
      <c r="E158" s="16"/>
    </row>
    <row r="159">
      <c r="A159" s="16"/>
      <c r="C159" s="16"/>
      <c r="D159" s="16"/>
      <c r="E159" s="16"/>
    </row>
    <row r="160">
      <c r="A160" s="16"/>
      <c r="C160" s="16"/>
      <c r="D160" s="16"/>
      <c r="E160" s="16"/>
    </row>
    <row r="161">
      <c r="A161" s="16"/>
      <c r="C161" s="16"/>
      <c r="D161" s="16"/>
      <c r="E161" s="16"/>
    </row>
    <row r="162">
      <c r="A162" s="16"/>
      <c r="C162" s="16"/>
      <c r="D162" s="16"/>
      <c r="E162" s="16"/>
    </row>
    <row r="163">
      <c r="A163" s="16"/>
      <c r="C163" s="16"/>
      <c r="D163" s="16"/>
      <c r="E163" s="16"/>
    </row>
    <row r="164">
      <c r="A164" s="16"/>
      <c r="C164" s="16"/>
      <c r="D164" s="16"/>
      <c r="E164" s="16"/>
    </row>
    <row r="165">
      <c r="A165" s="16"/>
      <c r="C165" s="16"/>
      <c r="D165" s="16"/>
      <c r="E165" s="16"/>
    </row>
    <row r="166">
      <c r="A166" s="16"/>
      <c r="C166" s="16"/>
      <c r="D166" s="16"/>
      <c r="E166" s="16"/>
    </row>
    <row r="167">
      <c r="A167" s="16"/>
      <c r="C167" s="16"/>
      <c r="D167" s="16"/>
      <c r="E167" s="16"/>
    </row>
    <row r="168">
      <c r="A168" s="16"/>
      <c r="C168" s="16"/>
      <c r="D168" s="16"/>
      <c r="E168" s="16"/>
    </row>
    <row r="169">
      <c r="A169" s="16"/>
      <c r="C169" s="16"/>
      <c r="D169" s="16"/>
      <c r="E169" s="16"/>
    </row>
    <row r="170">
      <c r="A170" s="16"/>
      <c r="C170" s="16"/>
      <c r="D170" s="16"/>
      <c r="E170" s="16"/>
    </row>
    <row r="171">
      <c r="A171" s="16"/>
      <c r="C171" s="16"/>
      <c r="D171" s="16"/>
      <c r="E171" s="16"/>
    </row>
    <row r="172">
      <c r="A172" s="16"/>
      <c r="C172" s="16"/>
      <c r="D172" s="16"/>
      <c r="E172" s="16"/>
    </row>
    <row r="173">
      <c r="A173" s="16"/>
      <c r="C173" s="16"/>
      <c r="D173" s="16"/>
      <c r="E173" s="16"/>
    </row>
    <row r="174">
      <c r="A174" s="16"/>
      <c r="C174" s="16"/>
      <c r="D174" s="16"/>
      <c r="E174" s="16"/>
    </row>
    <row r="175">
      <c r="A175" s="16"/>
      <c r="C175" s="16"/>
      <c r="D175" s="16"/>
      <c r="E175" s="16"/>
    </row>
    <row r="176">
      <c r="A176" s="16"/>
      <c r="C176" s="16"/>
      <c r="D176" s="16"/>
      <c r="E176" s="16"/>
    </row>
    <row r="177">
      <c r="A177" s="16"/>
      <c r="C177" s="16"/>
      <c r="D177" s="16"/>
      <c r="E177" s="16"/>
    </row>
    <row r="178">
      <c r="A178" s="16"/>
      <c r="C178" s="16"/>
      <c r="D178" s="16"/>
      <c r="E178" s="16"/>
    </row>
    <row r="179">
      <c r="A179" s="16"/>
      <c r="C179" s="16"/>
      <c r="D179" s="16"/>
      <c r="E179" s="16"/>
    </row>
    <row r="180">
      <c r="A180" s="16"/>
      <c r="C180" s="16"/>
      <c r="D180" s="16"/>
      <c r="E180" s="16"/>
    </row>
    <row r="181">
      <c r="A181" s="16"/>
      <c r="C181" s="16"/>
      <c r="D181" s="16"/>
      <c r="E181" s="16"/>
    </row>
    <row r="182">
      <c r="A182" s="16"/>
      <c r="C182" s="16"/>
      <c r="D182" s="16"/>
      <c r="E182" s="16"/>
    </row>
    <row r="183">
      <c r="A183" s="16"/>
      <c r="C183" s="16"/>
      <c r="D183" s="16"/>
      <c r="E183" s="16"/>
    </row>
    <row r="184">
      <c r="A184" s="16"/>
      <c r="C184" s="16"/>
      <c r="D184" s="16"/>
      <c r="E184" s="16"/>
    </row>
    <row r="185">
      <c r="A185" s="16"/>
      <c r="C185" s="16"/>
      <c r="D185" s="16"/>
      <c r="E185" s="16"/>
    </row>
    <row r="186">
      <c r="A186" s="16"/>
      <c r="C186" s="16"/>
      <c r="D186" s="16"/>
      <c r="E186" s="16"/>
    </row>
    <row r="187">
      <c r="A187" s="16"/>
      <c r="C187" s="16"/>
      <c r="D187" s="16"/>
      <c r="E187" s="16"/>
    </row>
    <row r="188">
      <c r="A188" s="16"/>
      <c r="C188" s="16"/>
      <c r="D188" s="16"/>
      <c r="E188" s="16"/>
    </row>
    <row r="189">
      <c r="A189" s="16"/>
      <c r="C189" s="16"/>
      <c r="D189" s="16"/>
      <c r="E189" s="16"/>
    </row>
    <row r="190">
      <c r="A190" s="16"/>
      <c r="C190" s="16"/>
      <c r="D190" s="16"/>
      <c r="E190" s="16"/>
    </row>
    <row r="191">
      <c r="A191" s="16"/>
      <c r="C191" s="16"/>
      <c r="D191" s="16"/>
      <c r="E191" s="16"/>
    </row>
    <row r="192">
      <c r="A192" s="16"/>
      <c r="C192" s="16"/>
      <c r="D192" s="16"/>
      <c r="E192" s="16"/>
    </row>
    <row r="193">
      <c r="A193" s="16"/>
      <c r="C193" s="16"/>
      <c r="D193" s="16"/>
      <c r="E193" s="16"/>
    </row>
    <row r="194">
      <c r="A194" s="16"/>
      <c r="C194" s="16"/>
      <c r="D194" s="16"/>
      <c r="E194" s="16"/>
    </row>
    <row r="195">
      <c r="A195" s="16"/>
      <c r="C195" s="16"/>
      <c r="D195" s="16"/>
      <c r="E195" s="16"/>
    </row>
    <row r="196">
      <c r="A196" s="16"/>
      <c r="C196" s="16"/>
      <c r="D196" s="16"/>
      <c r="E196" s="16"/>
    </row>
    <row r="197">
      <c r="A197" s="16"/>
      <c r="C197" s="16"/>
      <c r="D197" s="16"/>
      <c r="E197" s="16"/>
    </row>
    <row r="198">
      <c r="A198" s="16"/>
      <c r="C198" s="16"/>
      <c r="D198" s="16"/>
      <c r="E198" s="16"/>
    </row>
    <row r="199">
      <c r="A199" s="16"/>
      <c r="C199" s="16"/>
      <c r="D199" s="16"/>
      <c r="E199" s="16"/>
    </row>
    <row r="200">
      <c r="A200" s="16"/>
      <c r="C200" s="16"/>
      <c r="D200" s="16"/>
      <c r="E200" s="16"/>
    </row>
    <row r="201">
      <c r="A201" s="16"/>
      <c r="C201" s="16"/>
      <c r="D201" s="16"/>
      <c r="E201" s="16"/>
    </row>
    <row r="202">
      <c r="A202" s="16"/>
      <c r="C202" s="16"/>
      <c r="D202" s="16"/>
      <c r="E202" s="16"/>
    </row>
    <row r="203">
      <c r="A203" s="16"/>
      <c r="C203" s="16"/>
      <c r="D203" s="16"/>
      <c r="E203" s="16"/>
    </row>
    <row r="204">
      <c r="A204" s="16"/>
      <c r="C204" s="16"/>
      <c r="D204" s="16"/>
      <c r="E204" s="16"/>
    </row>
    <row r="205">
      <c r="A205" s="16"/>
      <c r="C205" s="16"/>
      <c r="D205" s="16"/>
      <c r="E205" s="16"/>
    </row>
    <row r="206">
      <c r="A206" s="16"/>
      <c r="C206" s="16"/>
      <c r="D206" s="16"/>
      <c r="E206" s="16"/>
    </row>
    <row r="207">
      <c r="A207" s="16"/>
      <c r="C207" s="16"/>
      <c r="D207" s="16"/>
      <c r="E207" s="16"/>
    </row>
    <row r="208">
      <c r="A208" s="16"/>
      <c r="C208" s="16"/>
      <c r="D208" s="16"/>
      <c r="E208" s="16"/>
    </row>
    <row r="209">
      <c r="A209" s="16"/>
      <c r="C209" s="16"/>
      <c r="D209" s="16"/>
      <c r="E209" s="16"/>
    </row>
    <row r="210">
      <c r="A210" s="16"/>
      <c r="C210" s="16"/>
      <c r="D210" s="16"/>
      <c r="E210" s="16"/>
    </row>
    <row r="211">
      <c r="A211" s="16"/>
      <c r="C211" s="16"/>
      <c r="D211" s="16"/>
      <c r="E211" s="16"/>
    </row>
    <row r="212">
      <c r="A212" s="16"/>
      <c r="C212" s="16"/>
      <c r="D212" s="16"/>
      <c r="E212" s="16"/>
    </row>
    <row r="213">
      <c r="A213" s="16"/>
      <c r="C213" s="16"/>
      <c r="D213" s="16"/>
      <c r="E213" s="16"/>
    </row>
    <row r="214">
      <c r="A214" s="16"/>
      <c r="C214" s="16"/>
      <c r="D214" s="16"/>
      <c r="E214" s="16"/>
    </row>
    <row r="215">
      <c r="A215" s="16"/>
      <c r="C215" s="16"/>
      <c r="D215" s="16"/>
      <c r="E215" s="16"/>
    </row>
    <row r="216">
      <c r="A216" s="16"/>
      <c r="C216" s="16"/>
      <c r="D216" s="16"/>
      <c r="E216" s="16"/>
    </row>
    <row r="217">
      <c r="A217" s="16"/>
      <c r="C217" s="16"/>
      <c r="D217" s="16"/>
      <c r="E217" s="16"/>
    </row>
    <row r="218">
      <c r="A218" s="16"/>
      <c r="C218" s="16"/>
      <c r="D218" s="16"/>
      <c r="E218" s="16"/>
    </row>
    <row r="219">
      <c r="A219" s="16"/>
      <c r="C219" s="16"/>
      <c r="D219" s="16"/>
      <c r="E219" s="16"/>
    </row>
    <row r="220">
      <c r="A220" s="16"/>
      <c r="C220" s="16"/>
      <c r="D220" s="16"/>
      <c r="E220" s="16"/>
    </row>
    <row r="221">
      <c r="A221" s="16"/>
      <c r="C221" s="16"/>
      <c r="D221" s="16"/>
      <c r="E221" s="16"/>
    </row>
    <row r="222">
      <c r="A222" s="16"/>
      <c r="C222" s="16"/>
      <c r="D222" s="16"/>
      <c r="E222" s="16"/>
    </row>
    <row r="223">
      <c r="A223" s="16"/>
      <c r="C223" s="16"/>
      <c r="D223" s="16"/>
      <c r="E223" s="16"/>
    </row>
    <row r="224">
      <c r="A224" s="16"/>
      <c r="C224" s="16"/>
      <c r="D224" s="16"/>
      <c r="E224" s="16"/>
    </row>
    <row r="225">
      <c r="A225" s="16"/>
      <c r="C225" s="16"/>
      <c r="D225" s="16"/>
      <c r="E225" s="16"/>
    </row>
    <row r="226">
      <c r="A226" s="16"/>
      <c r="C226" s="16"/>
      <c r="D226" s="16"/>
      <c r="E226" s="16"/>
    </row>
    <row r="227">
      <c r="A227" s="16"/>
      <c r="C227" s="16"/>
      <c r="D227" s="16"/>
      <c r="E227" s="16"/>
    </row>
    <row r="228">
      <c r="A228" s="16"/>
      <c r="C228" s="16"/>
      <c r="D228" s="16"/>
      <c r="E228" s="16"/>
    </row>
    <row r="229">
      <c r="A229" s="16"/>
      <c r="C229" s="16"/>
      <c r="D229" s="16"/>
      <c r="E229" s="16"/>
    </row>
    <row r="230">
      <c r="A230" s="16"/>
      <c r="C230" s="16"/>
      <c r="D230" s="16"/>
      <c r="E230" s="16"/>
    </row>
    <row r="231">
      <c r="A231" s="16"/>
      <c r="C231" s="16"/>
      <c r="D231" s="16"/>
      <c r="E231" s="16"/>
    </row>
    <row r="232">
      <c r="A232" s="16"/>
      <c r="C232" s="16"/>
      <c r="D232" s="16"/>
      <c r="E232" s="16"/>
    </row>
    <row r="233">
      <c r="A233" s="16"/>
      <c r="C233" s="16"/>
      <c r="D233" s="16"/>
      <c r="E233" s="16"/>
    </row>
    <row r="234">
      <c r="A234" s="16"/>
      <c r="C234" s="16"/>
      <c r="D234" s="16"/>
      <c r="E234" s="16"/>
    </row>
    <row r="235">
      <c r="A235" s="16"/>
      <c r="C235" s="16"/>
      <c r="D235" s="16"/>
      <c r="E235" s="16"/>
    </row>
    <row r="236">
      <c r="A236" s="16"/>
      <c r="C236" s="16"/>
      <c r="D236" s="16"/>
      <c r="E236" s="16"/>
    </row>
    <row r="237">
      <c r="A237" s="16"/>
      <c r="C237" s="16"/>
      <c r="D237" s="16"/>
      <c r="E237" s="16"/>
    </row>
    <row r="238">
      <c r="A238" s="16"/>
      <c r="C238" s="16"/>
      <c r="D238" s="16"/>
      <c r="E238" s="16"/>
    </row>
    <row r="239">
      <c r="A239" s="16"/>
      <c r="C239" s="16"/>
      <c r="D239" s="16"/>
      <c r="E239" s="16"/>
    </row>
    <row r="240">
      <c r="A240" s="16"/>
      <c r="C240" s="16"/>
      <c r="D240" s="16"/>
      <c r="E240" s="16"/>
    </row>
    <row r="241">
      <c r="A241" s="16"/>
      <c r="C241" s="16"/>
      <c r="D241" s="16"/>
      <c r="E241" s="16"/>
    </row>
    <row r="242">
      <c r="A242" s="16"/>
      <c r="C242" s="16"/>
      <c r="D242" s="16"/>
      <c r="E242" s="16"/>
    </row>
    <row r="243">
      <c r="A243" s="16"/>
      <c r="C243" s="16"/>
      <c r="D243" s="16"/>
      <c r="E243" s="16"/>
    </row>
    <row r="244">
      <c r="A244" s="16"/>
      <c r="C244" s="16"/>
      <c r="D244" s="16"/>
      <c r="E244" s="16"/>
    </row>
    <row r="245">
      <c r="A245" s="16"/>
      <c r="C245" s="16"/>
      <c r="D245" s="16"/>
      <c r="E245" s="16"/>
    </row>
    <row r="246">
      <c r="A246" s="16"/>
      <c r="C246" s="16"/>
      <c r="D246" s="16"/>
      <c r="E246" s="16"/>
    </row>
    <row r="247">
      <c r="A247" s="16"/>
      <c r="C247" s="16"/>
      <c r="D247" s="16"/>
      <c r="E247" s="16"/>
    </row>
    <row r="248">
      <c r="A248" s="16"/>
      <c r="C248" s="16"/>
      <c r="D248" s="16"/>
      <c r="E248" s="16"/>
    </row>
    <row r="249">
      <c r="A249" s="16"/>
      <c r="C249" s="16"/>
      <c r="D249" s="16"/>
      <c r="E249" s="16"/>
    </row>
    <row r="250">
      <c r="A250" s="16"/>
      <c r="C250" s="16"/>
      <c r="D250" s="16"/>
      <c r="E250" s="16"/>
    </row>
    <row r="251">
      <c r="A251" s="16"/>
      <c r="C251" s="16"/>
      <c r="D251" s="16"/>
      <c r="E251" s="16"/>
    </row>
    <row r="252">
      <c r="A252" s="16"/>
      <c r="C252" s="16"/>
      <c r="D252" s="16"/>
      <c r="E252" s="16"/>
    </row>
    <row r="253">
      <c r="A253" s="16"/>
      <c r="C253" s="16"/>
      <c r="D253" s="16"/>
      <c r="E253" s="16"/>
    </row>
    <row r="254">
      <c r="A254" s="16"/>
      <c r="C254" s="16"/>
      <c r="D254" s="16"/>
      <c r="E254" s="16"/>
    </row>
    <row r="255">
      <c r="A255" s="16"/>
      <c r="C255" s="16"/>
      <c r="D255" s="16"/>
      <c r="E255" s="16"/>
    </row>
    <row r="256">
      <c r="A256" s="16"/>
      <c r="C256" s="16"/>
      <c r="D256" s="16"/>
      <c r="E256" s="16"/>
    </row>
    <row r="257">
      <c r="A257" s="16"/>
      <c r="C257" s="16"/>
      <c r="D257" s="16"/>
      <c r="E257" s="16"/>
    </row>
    <row r="258">
      <c r="A258" s="16"/>
      <c r="C258" s="16"/>
      <c r="D258" s="16"/>
      <c r="E258" s="16"/>
    </row>
    <row r="259">
      <c r="A259" s="16"/>
      <c r="C259" s="16"/>
      <c r="D259" s="16"/>
      <c r="E259" s="16"/>
    </row>
    <row r="260">
      <c r="A260" s="16"/>
      <c r="C260" s="16"/>
      <c r="D260" s="16"/>
      <c r="E260" s="16"/>
    </row>
    <row r="261">
      <c r="A261" s="16"/>
      <c r="C261" s="16"/>
      <c r="D261" s="16"/>
      <c r="E261" s="16"/>
    </row>
    <row r="262">
      <c r="A262" s="16"/>
      <c r="C262" s="16"/>
      <c r="D262" s="16"/>
      <c r="E262" s="16"/>
    </row>
    <row r="263">
      <c r="A263" s="16"/>
      <c r="C263" s="16"/>
      <c r="D263" s="16"/>
      <c r="E263" s="16"/>
    </row>
    <row r="264">
      <c r="A264" s="16"/>
      <c r="C264" s="16"/>
      <c r="D264" s="16"/>
      <c r="E264" s="16"/>
    </row>
    <row r="265">
      <c r="A265" s="16"/>
      <c r="C265" s="16"/>
      <c r="D265" s="16"/>
      <c r="E265" s="16"/>
    </row>
    <row r="266">
      <c r="A266" s="16"/>
      <c r="C266" s="16"/>
      <c r="D266" s="16"/>
      <c r="E266" s="16"/>
    </row>
    <row r="267">
      <c r="A267" s="16"/>
      <c r="C267" s="16"/>
      <c r="D267" s="16"/>
      <c r="E267" s="16"/>
    </row>
    <row r="268">
      <c r="A268" s="16"/>
      <c r="C268" s="16"/>
      <c r="D268" s="16"/>
      <c r="E268" s="16"/>
    </row>
    <row r="269">
      <c r="A269" s="16"/>
      <c r="C269" s="16"/>
      <c r="D269" s="16"/>
      <c r="E269" s="16"/>
    </row>
    <row r="270">
      <c r="A270" s="16"/>
      <c r="C270" s="16"/>
      <c r="D270" s="16"/>
      <c r="E270" s="16"/>
    </row>
    <row r="271">
      <c r="A271" s="16"/>
      <c r="C271" s="16"/>
      <c r="D271" s="16"/>
      <c r="E271" s="16"/>
    </row>
    <row r="272">
      <c r="A272" s="16"/>
      <c r="C272" s="16"/>
      <c r="D272" s="16"/>
      <c r="E272" s="16"/>
    </row>
    <row r="273">
      <c r="A273" s="16"/>
      <c r="C273" s="16"/>
      <c r="D273" s="16"/>
      <c r="E273" s="16"/>
    </row>
    <row r="274">
      <c r="A274" s="16"/>
      <c r="C274" s="16"/>
      <c r="D274" s="16"/>
      <c r="E274" s="16"/>
    </row>
    <row r="275">
      <c r="A275" s="16"/>
      <c r="C275" s="16"/>
      <c r="D275" s="16"/>
      <c r="E275" s="16"/>
    </row>
    <row r="276">
      <c r="A276" s="16"/>
      <c r="C276" s="16"/>
      <c r="D276" s="16"/>
      <c r="E276" s="16"/>
    </row>
    <row r="277">
      <c r="A277" s="16"/>
      <c r="C277" s="16"/>
      <c r="D277" s="16"/>
      <c r="E277" s="16"/>
    </row>
    <row r="278">
      <c r="A278" s="16"/>
      <c r="C278" s="16"/>
      <c r="D278" s="16"/>
      <c r="E278" s="16"/>
    </row>
    <row r="279">
      <c r="A279" s="16"/>
      <c r="C279" s="16"/>
      <c r="D279" s="16"/>
      <c r="E279" s="16"/>
    </row>
    <row r="280">
      <c r="A280" s="16"/>
      <c r="C280" s="16"/>
      <c r="D280" s="16"/>
      <c r="E280" s="16"/>
    </row>
    <row r="281">
      <c r="A281" s="16"/>
      <c r="C281" s="16"/>
      <c r="D281" s="16"/>
      <c r="E281" s="16"/>
    </row>
    <row r="282">
      <c r="A282" s="16"/>
      <c r="C282" s="16"/>
      <c r="D282" s="16"/>
      <c r="E282" s="16"/>
    </row>
    <row r="283">
      <c r="A283" s="16"/>
      <c r="C283" s="16"/>
      <c r="D283" s="16"/>
      <c r="E283" s="16"/>
    </row>
    <row r="284">
      <c r="A284" s="16"/>
      <c r="C284" s="16"/>
      <c r="D284" s="16"/>
      <c r="E284" s="16"/>
    </row>
    <row r="285">
      <c r="A285" s="16"/>
      <c r="C285" s="16"/>
      <c r="D285" s="16"/>
      <c r="E285" s="16"/>
    </row>
    <row r="286">
      <c r="A286" s="16"/>
      <c r="C286" s="16"/>
      <c r="D286" s="16"/>
      <c r="E286" s="16"/>
    </row>
    <row r="287">
      <c r="A287" s="16"/>
      <c r="C287" s="16"/>
      <c r="D287" s="16"/>
      <c r="E287" s="16"/>
    </row>
    <row r="288">
      <c r="A288" s="16"/>
      <c r="C288" s="16"/>
      <c r="D288" s="16"/>
      <c r="E288" s="16"/>
    </row>
    <row r="289">
      <c r="A289" s="16"/>
      <c r="C289" s="16"/>
      <c r="D289" s="16"/>
      <c r="E289" s="16"/>
    </row>
    <row r="290">
      <c r="A290" s="16"/>
      <c r="C290" s="16"/>
      <c r="D290" s="16"/>
      <c r="E290" s="16"/>
    </row>
    <row r="291">
      <c r="A291" s="16"/>
      <c r="C291" s="16"/>
      <c r="D291" s="16"/>
      <c r="E291" s="16"/>
    </row>
    <row r="292">
      <c r="A292" s="16"/>
      <c r="C292" s="16"/>
      <c r="D292" s="16"/>
      <c r="E292" s="16"/>
    </row>
    <row r="293">
      <c r="A293" s="16"/>
      <c r="C293" s="16"/>
      <c r="D293" s="16"/>
      <c r="E293" s="16"/>
    </row>
    <row r="294">
      <c r="A294" s="16"/>
      <c r="C294" s="16"/>
      <c r="D294" s="16"/>
      <c r="E294" s="16"/>
    </row>
    <row r="295">
      <c r="A295" s="16"/>
      <c r="C295" s="16"/>
      <c r="D295" s="16"/>
      <c r="E295" s="16"/>
    </row>
    <row r="296">
      <c r="A296" s="16"/>
      <c r="C296" s="16"/>
      <c r="D296" s="16"/>
      <c r="E296" s="16"/>
    </row>
    <row r="297">
      <c r="A297" s="16"/>
      <c r="C297" s="16"/>
      <c r="D297" s="16"/>
      <c r="E297" s="16"/>
    </row>
    <row r="298">
      <c r="A298" s="16"/>
      <c r="C298" s="16"/>
      <c r="D298" s="16"/>
      <c r="E298" s="16"/>
    </row>
    <row r="299">
      <c r="A299" s="16"/>
      <c r="C299" s="16"/>
      <c r="D299" s="16"/>
      <c r="E299" s="16"/>
    </row>
    <row r="300">
      <c r="A300" s="16"/>
      <c r="C300" s="16"/>
      <c r="D300" s="16"/>
      <c r="E300" s="16"/>
    </row>
    <row r="301">
      <c r="A301" s="16"/>
      <c r="C301" s="16"/>
      <c r="D301" s="16"/>
      <c r="E301" s="16"/>
    </row>
    <row r="302">
      <c r="A302" s="16"/>
      <c r="C302" s="16"/>
      <c r="D302" s="16"/>
      <c r="E302" s="16"/>
    </row>
    <row r="303">
      <c r="A303" s="16"/>
      <c r="C303" s="16"/>
      <c r="D303" s="16"/>
      <c r="E303" s="16"/>
    </row>
    <row r="304">
      <c r="A304" s="16"/>
      <c r="C304" s="16"/>
      <c r="D304" s="16"/>
      <c r="E304" s="16"/>
    </row>
    <row r="305">
      <c r="A305" s="16"/>
      <c r="C305" s="16"/>
      <c r="D305" s="16"/>
      <c r="E305" s="16"/>
    </row>
    <row r="306">
      <c r="A306" s="16"/>
      <c r="C306" s="16"/>
      <c r="D306" s="16"/>
      <c r="E306" s="16"/>
    </row>
    <row r="307">
      <c r="A307" s="16"/>
      <c r="C307" s="16"/>
      <c r="D307" s="16"/>
      <c r="E307" s="16"/>
    </row>
    <row r="308">
      <c r="A308" s="16"/>
      <c r="C308" s="16"/>
      <c r="D308" s="16"/>
      <c r="E308" s="16"/>
    </row>
    <row r="309">
      <c r="A309" s="16"/>
      <c r="C309" s="16"/>
      <c r="D309" s="16"/>
      <c r="E309" s="16"/>
    </row>
    <row r="310">
      <c r="A310" s="16"/>
      <c r="C310" s="16"/>
      <c r="D310" s="16"/>
      <c r="E310" s="16"/>
    </row>
    <row r="311">
      <c r="A311" s="16"/>
      <c r="C311" s="16"/>
      <c r="D311" s="16"/>
      <c r="E311" s="16"/>
    </row>
    <row r="312">
      <c r="A312" s="16"/>
      <c r="C312" s="16"/>
      <c r="D312" s="16"/>
      <c r="E312" s="16"/>
    </row>
    <row r="313">
      <c r="A313" s="16"/>
      <c r="C313" s="16"/>
      <c r="D313" s="16"/>
      <c r="E313" s="16"/>
    </row>
    <row r="314">
      <c r="A314" s="16"/>
      <c r="C314" s="16"/>
      <c r="D314" s="16"/>
      <c r="E314" s="16"/>
    </row>
    <row r="315">
      <c r="A315" s="16"/>
      <c r="C315" s="16"/>
      <c r="D315" s="16"/>
      <c r="E315" s="16"/>
    </row>
    <row r="316">
      <c r="A316" s="16"/>
      <c r="C316" s="16"/>
      <c r="D316" s="16"/>
      <c r="E316" s="16"/>
    </row>
    <row r="317">
      <c r="A317" s="16"/>
      <c r="C317" s="16"/>
      <c r="D317" s="16"/>
      <c r="E317" s="16"/>
    </row>
    <row r="318">
      <c r="A318" s="16"/>
      <c r="C318" s="16"/>
      <c r="D318" s="16"/>
      <c r="E318" s="16"/>
    </row>
    <row r="319">
      <c r="A319" s="16"/>
      <c r="C319" s="16"/>
      <c r="D319" s="16"/>
      <c r="E319" s="16"/>
    </row>
    <row r="320">
      <c r="A320" s="16"/>
      <c r="C320" s="16"/>
      <c r="D320" s="16"/>
      <c r="E320" s="16"/>
    </row>
    <row r="321">
      <c r="A321" s="16"/>
      <c r="C321" s="16"/>
      <c r="D321" s="16"/>
      <c r="E321" s="16"/>
    </row>
    <row r="322">
      <c r="A322" s="16"/>
      <c r="C322" s="16"/>
      <c r="D322" s="16"/>
      <c r="E322" s="16"/>
    </row>
    <row r="323">
      <c r="A323" s="16"/>
      <c r="C323" s="16"/>
      <c r="D323" s="16"/>
      <c r="E323" s="16"/>
    </row>
    <row r="324">
      <c r="A324" s="16"/>
      <c r="C324" s="16"/>
      <c r="D324" s="16"/>
      <c r="E324" s="16"/>
    </row>
    <row r="325">
      <c r="A325" s="16"/>
      <c r="C325" s="16"/>
      <c r="D325" s="16"/>
      <c r="E325" s="16"/>
    </row>
    <row r="326">
      <c r="A326" s="16"/>
      <c r="C326" s="16"/>
      <c r="D326" s="16"/>
      <c r="E326" s="16"/>
    </row>
    <row r="327">
      <c r="A327" s="16"/>
      <c r="C327" s="16"/>
      <c r="D327" s="16"/>
      <c r="E327" s="16"/>
    </row>
    <row r="328">
      <c r="A328" s="16"/>
      <c r="C328" s="16"/>
      <c r="D328" s="16"/>
      <c r="E328" s="16"/>
    </row>
    <row r="329">
      <c r="A329" s="16"/>
      <c r="C329" s="16"/>
      <c r="D329" s="16"/>
      <c r="E329" s="16"/>
    </row>
    <row r="330">
      <c r="A330" s="16"/>
      <c r="C330" s="16"/>
      <c r="D330" s="16"/>
      <c r="E330" s="16"/>
    </row>
    <row r="331">
      <c r="A331" s="16"/>
      <c r="C331" s="16"/>
      <c r="D331" s="16"/>
      <c r="E331" s="16"/>
    </row>
    <row r="332">
      <c r="A332" s="16"/>
      <c r="C332" s="16"/>
      <c r="D332" s="16"/>
      <c r="E332" s="16"/>
    </row>
    <row r="333">
      <c r="A333" s="16"/>
      <c r="C333" s="16"/>
      <c r="D333" s="16"/>
      <c r="E333" s="16"/>
    </row>
    <row r="334">
      <c r="A334" s="16"/>
      <c r="C334" s="16"/>
      <c r="D334" s="16"/>
      <c r="E334" s="16"/>
    </row>
    <row r="335">
      <c r="A335" s="16"/>
      <c r="C335" s="16"/>
      <c r="D335" s="16"/>
      <c r="E335" s="16"/>
    </row>
    <row r="336">
      <c r="A336" s="16"/>
      <c r="C336" s="16"/>
      <c r="D336" s="16"/>
      <c r="E336" s="16"/>
    </row>
    <row r="337">
      <c r="A337" s="16"/>
      <c r="C337" s="16"/>
      <c r="D337" s="16"/>
      <c r="E337" s="16"/>
    </row>
    <row r="338">
      <c r="A338" s="16"/>
      <c r="C338" s="16"/>
      <c r="D338" s="16"/>
      <c r="E338" s="16"/>
    </row>
    <row r="339">
      <c r="A339" s="16"/>
      <c r="C339" s="16"/>
      <c r="D339" s="16"/>
      <c r="E339" s="16"/>
    </row>
    <row r="340">
      <c r="A340" s="16"/>
      <c r="C340" s="16"/>
      <c r="D340" s="16"/>
      <c r="E340" s="16"/>
    </row>
    <row r="341">
      <c r="A341" s="16"/>
      <c r="C341" s="16"/>
      <c r="D341" s="16"/>
      <c r="E341" s="16"/>
    </row>
    <row r="342">
      <c r="A342" s="16"/>
      <c r="C342" s="16"/>
      <c r="D342" s="16"/>
      <c r="E342" s="16"/>
    </row>
    <row r="343">
      <c r="A343" s="16"/>
      <c r="C343" s="16"/>
      <c r="D343" s="16"/>
      <c r="E343" s="16"/>
    </row>
    <row r="344">
      <c r="A344" s="16"/>
      <c r="C344" s="16"/>
      <c r="D344" s="16"/>
      <c r="E344" s="16"/>
    </row>
    <row r="345">
      <c r="A345" s="16"/>
      <c r="C345" s="16"/>
      <c r="D345" s="16"/>
      <c r="E345" s="16"/>
    </row>
    <row r="346">
      <c r="A346" s="16"/>
      <c r="C346" s="16"/>
      <c r="D346" s="16"/>
      <c r="E346" s="16"/>
    </row>
    <row r="347">
      <c r="A347" s="16"/>
      <c r="C347" s="16"/>
      <c r="D347" s="16"/>
      <c r="E347" s="16"/>
    </row>
    <row r="348">
      <c r="A348" s="16"/>
      <c r="C348" s="16"/>
      <c r="D348" s="16"/>
      <c r="E348" s="16"/>
    </row>
    <row r="349">
      <c r="A349" s="16"/>
      <c r="C349" s="16"/>
      <c r="D349" s="16"/>
      <c r="E349" s="16"/>
    </row>
    <row r="350">
      <c r="A350" s="16"/>
      <c r="C350" s="16"/>
      <c r="D350" s="16"/>
      <c r="E350" s="16"/>
    </row>
    <row r="351">
      <c r="A351" s="16"/>
      <c r="C351" s="16"/>
      <c r="D351" s="16"/>
      <c r="E351" s="16"/>
    </row>
    <row r="352">
      <c r="A352" s="16"/>
      <c r="C352" s="16"/>
      <c r="D352" s="16"/>
      <c r="E352" s="16"/>
    </row>
    <row r="353">
      <c r="A353" s="16"/>
      <c r="C353" s="16"/>
      <c r="D353" s="16"/>
      <c r="E353" s="16"/>
    </row>
    <row r="354">
      <c r="A354" s="16"/>
      <c r="C354" s="16"/>
      <c r="D354" s="16"/>
      <c r="E354" s="16"/>
    </row>
    <row r="355">
      <c r="A355" s="16"/>
      <c r="C355" s="16"/>
      <c r="D355" s="16"/>
      <c r="E355" s="16"/>
    </row>
    <row r="356">
      <c r="A356" s="16"/>
      <c r="C356" s="16"/>
      <c r="D356" s="16"/>
      <c r="E356" s="16"/>
    </row>
    <row r="357">
      <c r="A357" s="16"/>
      <c r="C357" s="16"/>
      <c r="D357" s="16"/>
      <c r="E357" s="16"/>
    </row>
    <row r="358">
      <c r="A358" s="16"/>
      <c r="C358" s="16"/>
      <c r="D358" s="16"/>
      <c r="E358" s="16"/>
    </row>
    <row r="359">
      <c r="A359" s="16"/>
      <c r="C359" s="16"/>
      <c r="D359" s="16"/>
      <c r="E359" s="16"/>
    </row>
    <row r="360">
      <c r="A360" s="16"/>
      <c r="C360" s="16"/>
      <c r="D360" s="16"/>
      <c r="E360" s="16"/>
    </row>
    <row r="361">
      <c r="A361" s="16"/>
      <c r="C361" s="16"/>
      <c r="D361" s="16"/>
      <c r="E361" s="16"/>
    </row>
    <row r="362">
      <c r="A362" s="16"/>
      <c r="C362" s="16"/>
      <c r="D362" s="16"/>
      <c r="E362" s="16"/>
    </row>
    <row r="363">
      <c r="A363" s="16"/>
      <c r="C363" s="16"/>
      <c r="D363" s="16"/>
      <c r="E363" s="16"/>
    </row>
    <row r="364">
      <c r="A364" s="16"/>
      <c r="C364" s="16"/>
      <c r="D364" s="16"/>
      <c r="E364" s="16"/>
    </row>
    <row r="365">
      <c r="A365" s="16"/>
      <c r="C365" s="16"/>
      <c r="D365" s="16"/>
      <c r="E365" s="16"/>
    </row>
    <row r="366">
      <c r="A366" s="16"/>
      <c r="C366" s="16"/>
      <c r="D366" s="16"/>
      <c r="E366" s="16"/>
    </row>
    <row r="367">
      <c r="A367" s="16"/>
      <c r="C367" s="16"/>
      <c r="D367" s="16"/>
      <c r="E367" s="16"/>
    </row>
    <row r="368">
      <c r="A368" s="16"/>
      <c r="C368" s="16"/>
      <c r="D368" s="16"/>
      <c r="E368" s="16"/>
    </row>
    <row r="369">
      <c r="A369" s="16"/>
      <c r="C369" s="16"/>
      <c r="D369" s="16"/>
      <c r="E369" s="16"/>
    </row>
    <row r="370">
      <c r="A370" s="16"/>
      <c r="C370" s="16"/>
      <c r="D370" s="16"/>
      <c r="E370" s="16"/>
    </row>
    <row r="371">
      <c r="A371" s="16"/>
      <c r="C371" s="16"/>
      <c r="D371" s="16"/>
      <c r="E371" s="16"/>
    </row>
    <row r="372">
      <c r="A372" s="16"/>
      <c r="C372" s="16"/>
      <c r="D372" s="16"/>
      <c r="E372" s="16"/>
    </row>
    <row r="373">
      <c r="A373" s="16"/>
      <c r="C373" s="16"/>
      <c r="D373" s="16"/>
      <c r="E373" s="16"/>
    </row>
    <row r="374">
      <c r="A374" s="16"/>
      <c r="C374" s="16"/>
      <c r="D374" s="16"/>
      <c r="E374" s="16"/>
    </row>
    <row r="375">
      <c r="A375" s="16"/>
      <c r="C375" s="16"/>
      <c r="D375" s="16"/>
      <c r="E375" s="16"/>
    </row>
    <row r="376">
      <c r="A376" s="16"/>
      <c r="C376" s="16"/>
      <c r="D376" s="16"/>
      <c r="E376" s="16"/>
    </row>
    <row r="377">
      <c r="A377" s="16"/>
      <c r="C377" s="16"/>
      <c r="D377" s="16"/>
      <c r="E377" s="16"/>
    </row>
    <row r="378">
      <c r="A378" s="16"/>
      <c r="C378" s="16"/>
      <c r="D378" s="16"/>
      <c r="E378" s="16"/>
    </row>
    <row r="379">
      <c r="A379" s="16"/>
      <c r="C379" s="16"/>
      <c r="D379" s="16"/>
      <c r="E379" s="16"/>
    </row>
    <row r="380">
      <c r="A380" s="16"/>
      <c r="C380" s="16"/>
      <c r="D380" s="16"/>
      <c r="E380" s="16"/>
    </row>
    <row r="381">
      <c r="A381" s="16"/>
      <c r="C381" s="16"/>
      <c r="D381" s="16"/>
      <c r="E381" s="16"/>
    </row>
    <row r="382">
      <c r="A382" s="16"/>
      <c r="C382" s="16"/>
      <c r="D382" s="16"/>
      <c r="E382" s="16"/>
    </row>
    <row r="383">
      <c r="A383" s="16"/>
      <c r="C383" s="16"/>
      <c r="D383" s="16"/>
      <c r="E383" s="16"/>
    </row>
    <row r="384">
      <c r="A384" s="16"/>
      <c r="C384" s="16"/>
      <c r="D384" s="16"/>
      <c r="E384" s="16"/>
    </row>
    <row r="385">
      <c r="A385" s="16"/>
      <c r="C385" s="16"/>
      <c r="D385" s="16"/>
      <c r="E385" s="16"/>
    </row>
    <row r="386">
      <c r="A386" s="16"/>
      <c r="C386" s="16"/>
      <c r="D386" s="16"/>
      <c r="E386" s="16"/>
    </row>
    <row r="387">
      <c r="A387" s="16"/>
      <c r="C387" s="16"/>
      <c r="D387" s="16"/>
      <c r="E387" s="16"/>
    </row>
    <row r="388">
      <c r="A388" s="16"/>
      <c r="C388" s="16"/>
      <c r="D388" s="16"/>
      <c r="E388" s="16"/>
    </row>
    <row r="389">
      <c r="A389" s="16"/>
      <c r="C389" s="16"/>
      <c r="D389" s="16"/>
      <c r="E389" s="16"/>
    </row>
    <row r="390">
      <c r="A390" s="16"/>
      <c r="C390" s="16"/>
      <c r="D390" s="16"/>
      <c r="E390" s="16"/>
    </row>
    <row r="391">
      <c r="A391" s="16"/>
      <c r="C391" s="16"/>
      <c r="D391" s="16"/>
      <c r="E391" s="16"/>
    </row>
    <row r="392">
      <c r="A392" s="16"/>
      <c r="C392" s="16"/>
      <c r="D392" s="16"/>
      <c r="E392" s="16"/>
    </row>
    <row r="393">
      <c r="A393" s="16"/>
      <c r="C393" s="16"/>
      <c r="D393" s="16"/>
      <c r="E393" s="16"/>
    </row>
    <row r="394">
      <c r="A394" s="16"/>
      <c r="C394" s="16"/>
      <c r="D394" s="16"/>
      <c r="E394" s="16"/>
    </row>
    <row r="395">
      <c r="A395" s="16"/>
      <c r="C395" s="16"/>
      <c r="D395" s="16"/>
      <c r="E395" s="16"/>
    </row>
    <row r="396">
      <c r="A396" s="16"/>
      <c r="C396" s="16"/>
      <c r="D396" s="16"/>
      <c r="E396" s="16"/>
    </row>
    <row r="397">
      <c r="A397" s="16"/>
      <c r="C397" s="16"/>
      <c r="D397" s="16"/>
      <c r="E397" s="16"/>
    </row>
    <row r="398">
      <c r="A398" s="16"/>
      <c r="C398" s="16"/>
      <c r="D398" s="16"/>
      <c r="E398" s="16"/>
    </row>
    <row r="399">
      <c r="A399" s="16"/>
      <c r="C399" s="16"/>
      <c r="D399" s="16"/>
      <c r="E399" s="16"/>
    </row>
    <row r="400">
      <c r="A400" s="16"/>
      <c r="C400" s="16"/>
      <c r="D400" s="16"/>
      <c r="E400" s="16"/>
    </row>
    <row r="401">
      <c r="A401" s="16"/>
      <c r="C401" s="16"/>
      <c r="D401" s="16"/>
      <c r="E401" s="16"/>
    </row>
    <row r="402">
      <c r="A402" s="16"/>
      <c r="C402" s="16"/>
      <c r="D402" s="16"/>
      <c r="E402" s="16"/>
    </row>
    <row r="403">
      <c r="A403" s="16"/>
      <c r="C403" s="16"/>
      <c r="D403" s="16"/>
      <c r="E403" s="16"/>
    </row>
    <row r="404">
      <c r="A404" s="16"/>
      <c r="C404" s="16"/>
      <c r="D404" s="16"/>
      <c r="E404" s="16"/>
    </row>
    <row r="405">
      <c r="A405" s="16"/>
      <c r="C405" s="16"/>
      <c r="D405" s="16"/>
      <c r="E405" s="16"/>
    </row>
    <row r="406">
      <c r="A406" s="16"/>
      <c r="C406" s="16"/>
      <c r="D406" s="16"/>
      <c r="E406" s="16"/>
    </row>
    <row r="407">
      <c r="A407" s="16"/>
      <c r="C407" s="16"/>
      <c r="D407" s="16"/>
      <c r="E407" s="16"/>
    </row>
    <row r="408">
      <c r="A408" s="16"/>
      <c r="C408" s="16"/>
      <c r="D408" s="16"/>
      <c r="E408" s="16"/>
    </row>
    <row r="409">
      <c r="A409" s="16"/>
      <c r="C409" s="16"/>
      <c r="D409" s="16"/>
      <c r="E409" s="16"/>
    </row>
    <row r="410">
      <c r="A410" s="16"/>
      <c r="C410" s="16"/>
      <c r="D410" s="16"/>
      <c r="E410" s="16"/>
    </row>
    <row r="411">
      <c r="A411" s="16"/>
      <c r="C411" s="16"/>
      <c r="D411" s="16"/>
      <c r="E411" s="16"/>
    </row>
    <row r="412">
      <c r="A412" s="16"/>
      <c r="C412" s="16"/>
      <c r="D412" s="16"/>
      <c r="E412" s="16"/>
    </row>
    <row r="413">
      <c r="A413" s="16"/>
      <c r="C413" s="16"/>
      <c r="D413" s="16"/>
      <c r="E413" s="16"/>
    </row>
    <row r="414">
      <c r="A414" s="16"/>
      <c r="C414" s="16"/>
      <c r="D414" s="16"/>
      <c r="E414" s="16"/>
    </row>
    <row r="415">
      <c r="A415" s="16"/>
      <c r="C415" s="16"/>
      <c r="D415" s="16"/>
      <c r="E415" s="16"/>
    </row>
    <row r="416">
      <c r="A416" s="16"/>
      <c r="C416" s="16"/>
      <c r="D416" s="16"/>
      <c r="E416" s="16"/>
    </row>
    <row r="417">
      <c r="A417" s="16"/>
      <c r="C417" s="16"/>
      <c r="D417" s="16"/>
      <c r="E417" s="16"/>
    </row>
    <row r="418">
      <c r="A418" s="16"/>
      <c r="C418" s="16"/>
      <c r="D418" s="16"/>
      <c r="E418" s="16"/>
    </row>
    <row r="419">
      <c r="A419" s="16"/>
      <c r="C419" s="16"/>
      <c r="D419" s="16"/>
      <c r="E419" s="16"/>
    </row>
    <row r="420">
      <c r="A420" s="16"/>
      <c r="C420" s="16"/>
      <c r="D420" s="16"/>
      <c r="E420" s="16"/>
    </row>
    <row r="421">
      <c r="A421" s="16"/>
      <c r="C421" s="16"/>
      <c r="D421" s="16"/>
      <c r="E421" s="16"/>
    </row>
    <row r="422">
      <c r="A422" s="16"/>
      <c r="C422" s="16"/>
      <c r="D422" s="16"/>
      <c r="E422" s="16"/>
    </row>
    <row r="423">
      <c r="A423" s="16"/>
      <c r="C423" s="16"/>
      <c r="D423" s="16"/>
      <c r="E423" s="16"/>
    </row>
    <row r="424">
      <c r="A424" s="16"/>
      <c r="C424" s="16"/>
      <c r="D424" s="16"/>
      <c r="E424" s="16"/>
    </row>
    <row r="425">
      <c r="A425" s="16"/>
      <c r="C425" s="16"/>
      <c r="D425" s="16"/>
      <c r="E425" s="16"/>
    </row>
    <row r="426">
      <c r="A426" s="16"/>
      <c r="C426" s="16"/>
      <c r="D426" s="16"/>
      <c r="E426" s="16"/>
    </row>
    <row r="427">
      <c r="A427" s="16"/>
      <c r="C427" s="16"/>
      <c r="D427" s="16"/>
      <c r="E427" s="16"/>
    </row>
    <row r="428">
      <c r="A428" s="16"/>
      <c r="C428" s="16"/>
      <c r="D428" s="16"/>
      <c r="E428" s="16"/>
    </row>
    <row r="429">
      <c r="A429" s="16"/>
      <c r="C429" s="16"/>
      <c r="D429" s="16"/>
      <c r="E429" s="16"/>
    </row>
    <row r="430">
      <c r="A430" s="16"/>
      <c r="C430" s="16"/>
      <c r="D430" s="16"/>
      <c r="E430" s="16"/>
    </row>
    <row r="431">
      <c r="A431" s="16"/>
      <c r="C431" s="16"/>
      <c r="D431" s="16"/>
      <c r="E431" s="16"/>
    </row>
    <row r="432">
      <c r="A432" s="16"/>
      <c r="C432" s="16"/>
      <c r="D432" s="16"/>
      <c r="E432" s="16"/>
    </row>
    <row r="433">
      <c r="A433" s="16"/>
      <c r="C433" s="16"/>
      <c r="D433" s="16"/>
      <c r="E433" s="16"/>
    </row>
    <row r="434">
      <c r="A434" s="16"/>
      <c r="C434" s="16"/>
      <c r="D434" s="16"/>
      <c r="E434" s="16"/>
    </row>
    <row r="435">
      <c r="A435" s="16"/>
      <c r="C435" s="16"/>
      <c r="D435" s="16"/>
      <c r="E435" s="16"/>
    </row>
    <row r="436">
      <c r="A436" s="16"/>
      <c r="C436" s="16"/>
      <c r="D436" s="16"/>
      <c r="E436" s="16"/>
    </row>
    <row r="437">
      <c r="A437" s="16"/>
      <c r="C437" s="16"/>
      <c r="D437" s="16"/>
      <c r="E437" s="16"/>
    </row>
    <row r="438">
      <c r="A438" s="16"/>
      <c r="C438" s="16"/>
      <c r="D438" s="16"/>
      <c r="E438" s="16"/>
    </row>
    <row r="439">
      <c r="A439" s="16"/>
      <c r="C439" s="16"/>
      <c r="D439" s="16"/>
      <c r="E439" s="16"/>
    </row>
    <row r="440">
      <c r="A440" s="16"/>
      <c r="C440" s="16"/>
      <c r="D440" s="16"/>
      <c r="E440" s="16"/>
    </row>
    <row r="441">
      <c r="A441" s="16"/>
      <c r="C441" s="16"/>
      <c r="D441" s="16"/>
      <c r="E441" s="16"/>
    </row>
    <row r="442">
      <c r="A442" s="16"/>
      <c r="C442" s="16"/>
      <c r="D442" s="16"/>
      <c r="E442" s="16"/>
    </row>
    <row r="443">
      <c r="A443" s="16"/>
      <c r="C443" s="16"/>
      <c r="D443" s="16"/>
      <c r="E443" s="16"/>
    </row>
    <row r="444">
      <c r="A444" s="16"/>
      <c r="C444" s="16"/>
      <c r="D444" s="16"/>
      <c r="E444" s="16"/>
    </row>
    <row r="445">
      <c r="A445" s="16"/>
      <c r="C445" s="16"/>
      <c r="D445" s="16"/>
      <c r="E445" s="16"/>
    </row>
    <row r="446">
      <c r="A446" s="16"/>
      <c r="C446" s="16"/>
      <c r="D446" s="16"/>
      <c r="E446" s="16"/>
    </row>
    <row r="447">
      <c r="A447" s="16"/>
      <c r="C447" s="16"/>
      <c r="D447" s="16"/>
      <c r="E447" s="16"/>
    </row>
    <row r="448">
      <c r="A448" s="16"/>
      <c r="C448" s="16"/>
      <c r="D448" s="16"/>
      <c r="E448" s="16"/>
    </row>
    <row r="449">
      <c r="A449" s="16"/>
      <c r="C449" s="16"/>
      <c r="D449" s="16"/>
      <c r="E449" s="16"/>
    </row>
    <row r="450">
      <c r="A450" s="16"/>
      <c r="C450" s="16"/>
      <c r="D450" s="16"/>
      <c r="E450" s="16"/>
    </row>
    <row r="451">
      <c r="A451" s="16"/>
      <c r="C451" s="16"/>
      <c r="D451" s="16"/>
      <c r="E451" s="16"/>
    </row>
    <row r="452">
      <c r="A452" s="16"/>
      <c r="C452" s="16"/>
      <c r="D452" s="16"/>
      <c r="E452" s="16"/>
    </row>
    <row r="453">
      <c r="A453" s="16"/>
      <c r="C453" s="16"/>
      <c r="D453" s="16"/>
      <c r="E453" s="16"/>
    </row>
    <row r="454">
      <c r="A454" s="16"/>
      <c r="C454" s="16"/>
      <c r="D454" s="16"/>
      <c r="E454" s="16"/>
    </row>
    <row r="455">
      <c r="A455" s="16"/>
      <c r="C455" s="16"/>
      <c r="D455" s="16"/>
      <c r="E455" s="16"/>
    </row>
    <row r="456">
      <c r="A456" s="16"/>
      <c r="C456" s="16"/>
      <c r="D456" s="16"/>
      <c r="E456" s="16"/>
    </row>
    <row r="457">
      <c r="A457" s="16"/>
      <c r="C457" s="16"/>
      <c r="D457" s="16"/>
      <c r="E457" s="16"/>
    </row>
    <row r="458">
      <c r="A458" s="16"/>
      <c r="C458" s="16"/>
      <c r="D458" s="16"/>
      <c r="E458" s="16"/>
    </row>
    <row r="459">
      <c r="A459" s="16"/>
      <c r="C459" s="16"/>
      <c r="D459" s="16"/>
      <c r="E459" s="16"/>
    </row>
    <row r="460">
      <c r="A460" s="16"/>
      <c r="C460" s="16"/>
      <c r="D460" s="16"/>
      <c r="E460" s="16"/>
    </row>
    <row r="461">
      <c r="A461" s="16"/>
      <c r="C461" s="16"/>
      <c r="D461" s="16"/>
      <c r="E461" s="16"/>
    </row>
    <row r="462">
      <c r="A462" s="16"/>
      <c r="C462" s="16"/>
      <c r="D462" s="16"/>
      <c r="E462" s="16"/>
    </row>
    <row r="463">
      <c r="A463" s="16"/>
      <c r="C463" s="16"/>
      <c r="D463" s="16"/>
      <c r="E463" s="16"/>
    </row>
    <row r="464">
      <c r="A464" s="16"/>
      <c r="C464" s="16"/>
      <c r="D464" s="16"/>
      <c r="E464" s="16"/>
    </row>
    <row r="465">
      <c r="A465" s="16"/>
      <c r="C465" s="16"/>
      <c r="D465" s="16"/>
      <c r="E465" s="16"/>
    </row>
    <row r="466">
      <c r="A466" s="16"/>
      <c r="C466" s="16"/>
      <c r="D466" s="16"/>
      <c r="E466" s="16"/>
    </row>
    <row r="467">
      <c r="A467" s="16"/>
      <c r="C467" s="16"/>
      <c r="D467" s="16"/>
      <c r="E467" s="16"/>
    </row>
    <row r="468">
      <c r="A468" s="16"/>
      <c r="C468" s="16"/>
      <c r="D468" s="16"/>
      <c r="E468" s="16"/>
    </row>
    <row r="469">
      <c r="A469" s="16"/>
      <c r="C469" s="16"/>
      <c r="D469" s="16"/>
      <c r="E469" s="16"/>
    </row>
    <row r="470">
      <c r="A470" s="16"/>
      <c r="C470" s="16"/>
      <c r="D470" s="16"/>
      <c r="E470" s="16"/>
    </row>
    <row r="471">
      <c r="A471" s="16"/>
      <c r="C471" s="16"/>
      <c r="D471" s="16"/>
      <c r="E471" s="16"/>
    </row>
    <row r="472">
      <c r="A472" s="16"/>
      <c r="C472" s="16"/>
      <c r="D472" s="16"/>
      <c r="E472" s="16"/>
    </row>
    <row r="473">
      <c r="A473" s="16"/>
      <c r="C473" s="16"/>
      <c r="D473" s="16"/>
      <c r="E473" s="16"/>
    </row>
    <row r="474">
      <c r="A474" s="16"/>
      <c r="C474" s="16"/>
      <c r="D474" s="16"/>
      <c r="E474" s="16"/>
    </row>
    <row r="475">
      <c r="A475" s="16"/>
      <c r="C475" s="16"/>
      <c r="D475" s="16"/>
      <c r="E475" s="16"/>
    </row>
    <row r="476">
      <c r="A476" s="16"/>
      <c r="C476" s="16"/>
      <c r="D476" s="16"/>
      <c r="E476" s="16"/>
    </row>
    <row r="477">
      <c r="A477" s="16"/>
      <c r="C477" s="16"/>
      <c r="D477" s="16"/>
      <c r="E477" s="16"/>
    </row>
    <row r="478">
      <c r="A478" s="16"/>
      <c r="C478" s="16"/>
      <c r="D478" s="16"/>
      <c r="E478" s="16"/>
    </row>
    <row r="479">
      <c r="A479" s="16"/>
      <c r="C479" s="16"/>
      <c r="D479" s="16"/>
      <c r="E479" s="16"/>
    </row>
    <row r="480">
      <c r="A480" s="16"/>
      <c r="C480" s="16"/>
      <c r="D480" s="16"/>
      <c r="E480" s="16"/>
    </row>
    <row r="481">
      <c r="A481" s="16"/>
      <c r="C481" s="16"/>
      <c r="D481" s="16"/>
      <c r="E481" s="16"/>
    </row>
    <row r="482">
      <c r="A482" s="16"/>
      <c r="C482" s="16"/>
      <c r="D482" s="16"/>
      <c r="E482" s="16"/>
    </row>
    <row r="483">
      <c r="A483" s="16"/>
      <c r="C483" s="16"/>
      <c r="D483" s="16"/>
      <c r="E483" s="16"/>
    </row>
    <row r="484">
      <c r="A484" s="16"/>
      <c r="C484" s="16"/>
      <c r="D484" s="16"/>
      <c r="E484" s="16"/>
    </row>
    <row r="485">
      <c r="A485" s="16"/>
      <c r="C485" s="16"/>
      <c r="D485" s="16"/>
      <c r="E485" s="16"/>
    </row>
    <row r="486">
      <c r="A486" s="16"/>
      <c r="C486" s="16"/>
      <c r="D486" s="16"/>
      <c r="E486" s="16"/>
    </row>
    <row r="487">
      <c r="A487" s="16"/>
      <c r="C487" s="16"/>
      <c r="D487" s="16"/>
      <c r="E487" s="16"/>
    </row>
    <row r="488">
      <c r="A488" s="16"/>
      <c r="C488" s="16"/>
      <c r="D488" s="16"/>
      <c r="E488" s="16"/>
    </row>
    <row r="489">
      <c r="A489" s="16"/>
      <c r="C489" s="16"/>
      <c r="D489" s="16"/>
      <c r="E489" s="16"/>
    </row>
    <row r="490">
      <c r="A490" s="16"/>
      <c r="C490" s="16"/>
      <c r="D490" s="16"/>
      <c r="E490" s="16"/>
    </row>
    <row r="491">
      <c r="A491" s="16"/>
      <c r="C491" s="16"/>
      <c r="D491" s="16"/>
      <c r="E491" s="16"/>
    </row>
    <row r="492">
      <c r="A492" s="16"/>
      <c r="C492" s="16"/>
      <c r="D492" s="16"/>
      <c r="E492" s="16"/>
    </row>
    <row r="493">
      <c r="A493" s="16"/>
      <c r="C493" s="16"/>
      <c r="D493" s="16"/>
      <c r="E493" s="16"/>
    </row>
    <row r="494">
      <c r="A494" s="16"/>
      <c r="C494" s="16"/>
      <c r="D494" s="16"/>
      <c r="E494" s="16"/>
    </row>
    <row r="495">
      <c r="A495" s="16"/>
      <c r="C495" s="16"/>
      <c r="D495" s="16"/>
      <c r="E495" s="16"/>
    </row>
    <row r="496">
      <c r="A496" s="16"/>
      <c r="C496" s="16"/>
      <c r="D496" s="16"/>
      <c r="E496" s="16"/>
    </row>
    <row r="497">
      <c r="A497" s="16"/>
      <c r="C497" s="16"/>
      <c r="D497" s="16"/>
      <c r="E497" s="16"/>
    </row>
    <row r="498">
      <c r="A498" s="16"/>
      <c r="C498" s="16"/>
      <c r="D498" s="16"/>
      <c r="E498" s="16"/>
    </row>
    <row r="499">
      <c r="A499" s="16"/>
      <c r="C499" s="16"/>
      <c r="D499" s="16"/>
      <c r="E499" s="16"/>
    </row>
    <row r="500">
      <c r="A500" s="16"/>
      <c r="C500" s="16"/>
      <c r="D500" s="16"/>
      <c r="E500" s="16"/>
    </row>
    <row r="501">
      <c r="A501" s="16"/>
      <c r="C501" s="16"/>
      <c r="D501" s="16"/>
      <c r="E501" s="16"/>
    </row>
    <row r="502">
      <c r="A502" s="16"/>
      <c r="C502" s="16"/>
      <c r="D502" s="16"/>
      <c r="E502" s="16"/>
    </row>
    <row r="503">
      <c r="A503" s="16"/>
      <c r="C503" s="16"/>
      <c r="D503" s="16"/>
      <c r="E503" s="16"/>
    </row>
    <row r="504">
      <c r="A504" s="16"/>
      <c r="C504" s="16"/>
      <c r="D504" s="16"/>
      <c r="E504" s="16"/>
    </row>
    <row r="505">
      <c r="A505" s="16"/>
      <c r="C505" s="16"/>
      <c r="D505" s="16"/>
      <c r="E505" s="16"/>
    </row>
    <row r="506">
      <c r="A506" s="16"/>
      <c r="C506" s="16"/>
      <c r="D506" s="16"/>
      <c r="E506" s="16"/>
    </row>
    <row r="507">
      <c r="A507" s="16"/>
      <c r="C507" s="16"/>
      <c r="D507" s="16"/>
      <c r="E507" s="16"/>
    </row>
    <row r="508">
      <c r="A508" s="16"/>
      <c r="C508" s="16"/>
      <c r="D508" s="16"/>
      <c r="E508" s="16"/>
    </row>
    <row r="509">
      <c r="A509" s="16"/>
      <c r="C509" s="16"/>
      <c r="D509" s="16"/>
      <c r="E509" s="16"/>
    </row>
    <row r="510">
      <c r="A510" s="16"/>
      <c r="C510" s="16"/>
      <c r="D510" s="16"/>
      <c r="E510" s="16"/>
    </row>
    <row r="511">
      <c r="A511" s="16"/>
      <c r="C511" s="16"/>
      <c r="D511" s="16"/>
      <c r="E511" s="16"/>
    </row>
    <row r="512">
      <c r="A512" s="16"/>
      <c r="C512" s="16"/>
      <c r="D512" s="16"/>
      <c r="E512" s="16"/>
    </row>
    <row r="513">
      <c r="A513" s="16"/>
      <c r="C513" s="16"/>
      <c r="D513" s="16"/>
      <c r="E513" s="16"/>
    </row>
    <row r="514">
      <c r="A514" s="16"/>
      <c r="C514" s="16"/>
      <c r="D514" s="16"/>
      <c r="E514" s="16"/>
    </row>
    <row r="515">
      <c r="A515" s="16"/>
      <c r="C515" s="16"/>
      <c r="D515" s="16"/>
      <c r="E515" s="16"/>
    </row>
    <row r="516">
      <c r="A516" s="16"/>
      <c r="C516" s="16"/>
      <c r="D516" s="16"/>
      <c r="E516" s="16"/>
    </row>
    <row r="517">
      <c r="A517" s="16"/>
      <c r="C517" s="16"/>
      <c r="D517" s="16"/>
      <c r="E517" s="16"/>
    </row>
    <row r="518">
      <c r="A518" s="16"/>
      <c r="C518" s="16"/>
      <c r="D518" s="16"/>
      <c r="E518" s="16"/>
    </row>
    <row r="519">
      <c r="A519" s="16"/>
      <c r="C519" s="16"/>
      <c r="D519" s="16"/>
      <c r="E519" s="16"/>
    </row>
    <row r="520">
      <c r="A520" s="16"/>
      <c r="C520" s="16"/>
      <c r="D520" s="16"/>
      <c r="E520" s="16"/>
    </row>
    <row r="521">
      <c r="A521" s="16"/>
      <c r="C521" s="16"/>
      <c r="D521" s="16"/>
      <c r="E521" s="16"/>
    </row>
    <row r="522">
      <c r="A522" s="16"/>
      <c r="C522" s="16"/>
      <c r="D522" s="16"/>
      <c r="E522" s="16"/>
    </row>
    <row r="523">
      <c r="A523" s="16"/>
      <c r="C523" s="16"/>
      <c r="D523" s="16"/>
      <c r="E523" s="16"/>
    </row>
    <row r="524">
      <c r="A524" s="16"/>
      <c r="C524" s="16"/>
      <c r="D524" s="16"/>
      <c r="E524" s="16"/>
    </row>
    <row r="525">
      <c r="A525" s="16"/>
      <c r="C525" s="16"/>
      <c r="D525" s="16"/>
      <c r="E525" s="16"/>
    </row>
    <row r="526">
      <c r="A526" s="16"/>
      <c r="C526" s="16"/>
      <c r="D526" s="16"/>
      <c r="E526" s="16"/>
    </row>
    <row r="527">
      <c r="A527" s="16"/>
      <c r="C527" s="16"/>
      <c r="D527" s="16"/>
      <c r="E527" s="16"/>
    </row>
    <row r="528">
      <c r="A528" s="16"/>
      <c r="C528" s="16"/>
      <c r="D528" s="16"/>
      <c r="E528" s="16"/>
    </row>
    <row r="529">
      <c r="A529" s="16"/>
      <c r="C529" s="16"/>
      <c r="D529" s="16"/>
      <c r="E529" s="16"/>
    </row>
    <row r="530">
      <c r="A530" s="16"/>
      <c r="C530" s="16"/>
      <c r="D530" s="16"/>
      <c r="E530" s="16"/>
    </row>
    <row r="531">
      <c r="A531" s="16"/>
      <c r="C531" s="16"/>
      <c r="D531" s="16"/>
      <c r="E531" s="16"/>
    </row>
    <row r="532">
      <c r="A532" s="16"/>
      <c r="C532" s="16"/>
      <c r="D532" s="16"/>
      <c r="E532" s="16"/>
    </row>
    <row r="533">
      <c r="A533" s="16"/>
      <c r="C533" s="16"/>
      <c r="D533" s="16"/>
      <c r="E533" s="16"/>
    </row>
    <row r="534">
      <c r="A534" s="16"/>
      <c r="C534" s="16"/>
      <c r="D534" s="16"/>
      <c r="E534" s="16"/>
    </row>
    <row r="535">
      <c r="A535" s="16"/>
      <c r="C535" s="16"/>
      <c r="D535" s="16"/>
      <c r="E535" s="16"/>
    </row>
    <row r="536">
      <c r="A536" s="16"/>
      <c r="C536" s="16"/>
      <c r="D536" s="16"/>
      <c r="E536" s="16"/>
    </row>
    <row r="537">
      <c r="A537" s="16"/>
      <c r="C537" s="16"/>
      <c r="D537" s="16"/>
      <c r="E537" s="16"/>
    </row>
    <row r="538">
      <c r="A538" s="16"/>
      <c r="C538" s="16"/>
      <c r="D538" s="16"/>
      <c r="E538" s="16"/>
    </row>
    <row r="539">
      <c r="A539" s="16"/>
      <c r="C539" s="16"/>
      <c r="D539" s="16"/>
      <c r="E539" s="16"/>
    </row>
    <row r="540">
      <c r="A540" s="16"/>
      <c r="C540" s="16"/>
      <c r="D540" s="16"/>
      <c r="E540" s="16"/>
    </row>
    <row r="541">
      <c r="A541" s="16"/>
      <c r="C541" s="16"/>
      <c r="D541" s="16"/>
      <c r="E541" s="16"/>
    </row>
    <row r="542">
      <c r="A542" s="16"/>
      <c r="C542" s="16"/>
      <c r="D542" s="16"/>
      <c r="E542" s="16"/>
    </row>
    <row r="543">
      <c r="A543" s="16"/>
      <c r="C543" s="16"/>
      <c r="D543" s="16"/>
      <c r="E543" s="16"/>
    </row>
    <row r="544">
      <c r="A544" s="16"/>
      <c r="C544" s="16"/>
      <c r="D544" s="16"/>
      <c r="E544" s="16"/>
    </row>
    <row r="545">
      <c r="A545" s="16"/>
      <c r="C545" s="16"/>
      <c r="D545" s="16"/>
      <c r="E545" s="16"/>
    </row>
    <row r="546">
      <c r="A546" s="16"/>
      <c r="C546" s="16"/>
      <c r="D546" s="16"/>
      <c r="E546" s="16"/>
    </row>
    <row r="547">
      <c r="A547" s="16"/>
      <c r="C547" s="16"/>
      <c r="D547" s="16"/>
      <c r="E547" s="16"/>
    </row>
    <row r="548">
      <c r="A548" s="16"/>
      <c r="C548" s="16"/>
      <c r="D548" s="16"/>
      <c r="E548" s="16"/>
    </row>
    <row r="549">
      <c r="A549" s="16"/>
      <c r="C549" s="16"/>
      <c r="D549" s="16"/>
      <c r="E549" s="16"/>
    </row>
    <row r="550">
      <c r="A550" s="16"/>
      <c r="C550" s="16"/>
      <c r="D550" s="16"/>
      <c r="E550" s="16"/>
    </row>
    <row r="551">
      <c r="A551" s="16"/>
      <c r="C551" s="16"/>
      <c r="D551" s="16"/>
      <c r="E551" s="16"/>
    </row>
    <row r="552">
      <c r="A552" s="16"/>
      <c r="C552" s="16"/>
      <c r="D552" s="16"/>
      <c r="E552" s="16"/>
    </row>
    <row r="553">
      <c r="A553" s="16"/>
      <c r="C553" s="16"/>
      <c r="D553" s="16"/>
      <c r="E553" s="16"/>
    </row>
    <row r="554">
      <c r="A554" s="16"/>
      <c r="C554" s="16"/>
      <c r="D554" s="16"/>
      <c r="E554" s="16"/>
    </row>
    <row r="555">
      <c r="A555" s="16"/>
      <c r="C555" s="16"/>
      <c r="D555" s="16"/>
      <c r="E555" s="16"/>
    </row>
    <row r="556">
      <c r="A556" s="16"/>
      <c r="C556" s="16"/>
      <c r="D556" s="16"/>
      <c r="E556" s="16"/>
    </row>
    <row r="557">
      <c r="A557" s="16"/>
      <c r="C557" s="16"/>
      <c r="D557" s="16"/>
      <c r="E557" s="16"/>
    </row>
    <row r="558">
      <c r="A558" s="16"/>
      <c r="C558" s="16"/>
      <c r="D558" s="16"/>
      <c r="E558" s="16"/>
    </row>
    <row r="559">
      <c r="A559" s="16"/>
      <c r="C559" s="16"/>
      <c r="D559" s="16"/>
      <c r="E559" s="16"/>
    </row>
    <row r="560">
      <c r="A560" s="16"/>
      <c r="C560" s="16"/>
      <c r="D560" s="16"/>
      <c r="E560" s="16"/>
    </row>
    <row r="561">
      <c r="A561" s="16"/>
      <c r="C561" s="16"/>
      <c r="D561" s="16"/>
      <c r="E561" s="16"/>
    </row>
    <row r="562">
      <c r="A562" s="16"/>
      <c r="C562" s="16"/>
      <c r="D562" s="16"/>
      <c r="E562" s="16"/>
    </row>
    <row r="563">
      <c r="A563" s="16"/>
      <c r="C563" s="16"/>
      <c r="D563" s="16"/>
      <c r="E563" s="16"/>
    </row>
    <row r="564">
      <c r="A564" s="16"/>
      <c r="C564" s="16"/>
      <c r="D564" s="16"/>
      <c r="E564" s="16"/>
    </row>
    <row r="565">
      <c r="A565" s="16"/>
      <c r="C565" s="16"/>
      <c r="D565" s="16"/>
      <c r="E565" s="16"/>
    </row>
    <row r="566">
      <c r="A566" s="16"/>
      <c r="C566" s="16"/>
      <c r="D566" s="16"/>
      <c r="E566" s="16"/>
    </row>
    <row r="567">
      <c r="A567" s="16"/>
      <c r="C567" s="16"/>
      <c r="D567" s="16"/>
      <c r="E567" s="16"/>
    </row>
    <row r="568">
      <c r="A568" s="16"/>
      <c r="C568" s="16"/>
      <c r="D568" s="16"/>
      <c r="E568" s="16"/>
    </row>
    <row r="569">
      <c r="A569" s="16"/>
      <c r="C569" s="16"/>
      <c r="D569" s="16"/>
      <c r="E569" s="16"/>
    </row>
    <row r="570">
      <c r="A570" s="16"/>
      <c r="C570" s="16"/>
      <c r="D570" s="16"/>
      <c r="E570" s="16"/>
    </row>
    <row r="571">
      <c r="A571" s="16"/>
      <c r="C571" s="16"/>
      <c r="D571" s="16"/>
      <c r="E571" s="16"/>
    </row>
    <row r="572">
      <c r="A572" s="16"/>
      <c r="C572" s="16"/>
      <c r="D572" s="16"/>
      <c r="E572" s="16"/>
    </row>
    <row r="573">
      <c r="A573" s="16"/>
      <c r="C573" s="16"/>
      <c r="D573" s="16"/>
      <c r="E573" s="16"/>
    </row>
    <row r="574">
      <c r="A574" s="16"/>
      <c r="C574" s="16"/>
      <c r="D574" s="16"/>
      <c r="E574" s="16"/>
    </row>
    <row r="575">
      <c r="A575" s="16"/>
      <c r="C575" s="16"/>
      <c r="D575" s="16"/>
      <c r="E575" s="16"/>
    </row>
    <row r="576">
      <c r="A576" s="16"/>
      <c r="C576" s="16"/>
      <c r="D576" s="16"/>
      <c r="E576" s="16"/>
    </row>
    <row r="577">
      <c r="A577" s="16"/>
      <c r="C577" s="16"/>
      <c r="D577" s="16"/>
      <c r="E577" s="16"/>
    </row>
    <row r="578">
      <c r="A578" s="16"/>
      <c r="C578" s="16"/>
      <c r="D578" s="16"/>
      <c r="E578" s="16"/>
    </row>
    <row r="579">
      <c r="A579" s="16"/>
      <c r="C579" s="16"/>
      <c r="D579" s="16"/>
      <c r="E579" s="16"/>
    </row>
    <row r="580">
      <c r="A580" s="16"/>
      <c r="C580" s="16"/>
      <c r="D580" s="16"/>
      <c r="E580" s="16"/>
    </row>
    <row r="581">
      <c r="A581" s="16"/>
      <c r="C581" s="16"/>
      <c r="D581" s="16"/>
      <c r="E581" s="16"/>
    </row>
    <row r="582">
      <c r="A582" s="16"/>
      <c r="C582" s="16"/>
      <c r="D582" s="16"/>
      <c r="E582" s="16"/>
    </row>
    <row r="583">
      <c r="A583" s="16"/>
      <c r="C583" s="16"/>
      <c r="D583" s="16"/>
      <c r="E583" s="16"/>
    </row>
    <row r="584">
      <c r="A584" s="16"/>
      <c r="C584" s="16"/>
      <c r="D584" s="16"/>
      <c r="E584" s="16"/>
    </row>
    <row r="585">
      <c r="A585" s="16"/>
      <c r="C585" s="16"/>
      <c r="D585" s="16"/>
      <c r="E585" s="16"/>
    </row>
    <row r="586">
      <c r="A586" s="16"/>
      <c r="C586" s="16"/>
      <c r="D586" s="16"/>
      <c r="E586" s="16"/>
    </row>
    <row r="587">
      <c r="A587" s="16"/>
      <c r="C587" s="16"/>
      <c r="D587" s="16"/>
      <c r="E587" s="16"/>
    </row>
    <row r="588">
      <c r="A588" s="16"/>
      <c r="C588" s="16"/>
      <c r="D588" s="16"/>
      <c r="E588" s="16"/>
    </row>
    <row r="589">
      <c r="A589" s="16"/>
      <c r="C589" s="16"/>
      <c r="D589" s="16"/>
      <c r="E589" s="16"/>
    </row>
    <row r="590">
      <c r="A590" s="16"/>
      <c r="C590" s="16"/>
      <c r="D590" s="16"/>
      <c r="E590" s="16"/>
    </row>
    <row r="591">
      <c r="A591" s="16"/>
      <c r="C591" s="16"/>
      <c r="D591" s="16"/>
      <c r="E591" s="16"/>
    </row>
    <row r="592">
      <c r="A592" s="16"/>
      <c r="C592" s="16"/>
      <c r="D592" s="16"/>
      <c r="E592" s="16"/>
    </row>
    <row r="593">
      <c r="A593" s="16"/>
      <c r="C593" s="16"/>
      <c r="D593" s="16"/>
      <c r="E593" s="16"/>
    </row>
    <row r="594">
      <c r="A594" s="16"/>
      <c r="C594" s="16"/>
      <c r="D594" s="16"/>
      <c r="E594" s="16"/>
    </row>
    <row r="595">
      <c r="A595" s="16"/>
      <c r="C595" s="16"/>
      <c r="D595" s="16"/>
      <c r="E595" s="16"/>
    </row>
    <row r="596">
      <c r="A596" s="16"/>
      <c r="C596" s="16"/>
      <c r="D596" s="16"/>
      <c r="E596" s="16"/>
    </row>
    <row r="597">
      <c r="A597" s="16"/>
      <c r="C597" s="16"/>
      <c r="D597" s="16"/>
      <c r="E597" s="16"/>
    </row>
    <row r="598">
      <c r="A598" s="16"/>
      <c r="C598" s="16"/>
      <c r="D598" s="16"/>
      <c r="E598" s="16"/>
    </row>
    <row r="599">
      <c r="A599" s="16"/>
      <c r="C599" s="16"/>
      <c r="D599" s="16"/>
      <c r="E599" s="16"/>
    </row>
    <row r="600">
      <c r="A600" s="16"/>
      <c r="C600" s="16"/>
      <c r="D600" s="16"/>
      <c r="E600" s="16"/>
    </row>
    <row r="601">
      <c r="A601" s="16"/>
      <c r="C601" s="16"/>
      <c r="D601" s="16"/>
      <c r="E601" s="16"/>
    </row>
    <row r="602">
      <c r="A602" s="16"/>
      <c r="C602" s="16"/>
      <c r="D602" s="16"/>
      <c r="E602" s="16"/>
    </row>
    <row r="603">
      <c r="A603" s="16"/>
      <c r="C603" s="16"/>
      <c r="D603" s="16"/>
      <c r="E603" s="16"/>
    </row>
    <row r="604">
      <c r="A604" s="16"/>
      <c r="C604" s="16"/>
      <c r="D604" s="16"/>
      <c r="E604" s="16"/>
    </row>
    <row r="605">
      <c r="A605" s="16"/>
      <c r="C605" s="16"/>
      <c r="D605" s="16"/>
      <c r="E605" s="16"/>
    </row>
    <row r="606">
      <c r="A606" s="16"/>
      <c r="C606" s="16"/>
      <c r="D606" s="16"/>
      <c r="E606" s="16"/>
    </row>
    <row r="607">
      <c r="A607" s="16"/>
      <c r="C607" s="16"/>
      <c r="D607" s="16"/>
      <c r="E607" s="16"/>
    </row>
    <row r="608">
      <c r="A608" s="16"/>
      <c r="C608" s="16"/>
      <c r="D608" s="16"/>
      <c r="E608" s="16"/>
    </row>
    <row r="609">
      <c r="A609" s="16"/>
      <c r="C609" s="16"/>
      <c r="D609" s="16"/>
      <c r="E609" s="16"/>
    </row>
    <row r="610">
      <c r="A610" s="16"/>
      <c r="C610" s="16"/>
      <c r="D610" s="16"/>
      <c r="E610" s="16"/>
    </row>
    <row r="611">
      <c r="A611" s="16"/>
      <c r="C611" s="16"/>
      <c r="D611" s="16"/>
      <c r="E611" s="16"/>
    </row>
    <row r="612">
      <c r="A612" s="16"/>
      <c r="C612" s="16"/>
      <c r="D612" s="16"/>
      <c r="E612" s="16"/>
    </row>
    <row r="613">
      <c r="A613" s="16"/>
      <c r="C613" s="16"/>
      <c r="D613" s="16"/>
      <c r="E613" s="16"/>
    </row>
    <row r="614">
      <c r="A614" s="16"/>
      <c r="C614" s="16"/>
      <c r="D614" s="16"/>
      <c r="E614" s="16"/>
    </row>
    <row r="615">
      <c r="A615" s="16"/>
      <c r="C615" s="16"/>
      <c r="D615" s="16"/>
      <c r="E615" s="16"/>
    </row>
    <row r="616">
      <c r="A616" s="16"/>
      <c r="C616" s="16"/>
      <c r="D616" s="16"/>
      <c r="E616" s="16"/>
    </row>
    <row r="617">
      <c r="A617" s="16"/>
      <c r="C617" s="16"/>
      <c r="D617" s="16"/>
      <c r="E617" s="16"/>
    </row>
    <row r="618">
      <c r="A618" s="16"/>
      <c r="C618" s="16"/>
      <c r="D618" s="16"/>
      <c r="E618" s="16"/>
    </row>
    <row r="619">
      <c r="A619" s="16"/>
      <c r="C619" s="16"/>
      <c r="D619" s="16"/>
      <c r="E619" s="16"/>
    </row>
    <row r="620">
      <c r="A620" s="16"/>
      <c r="C620" s="16"/>
      <c r="D620" s="16"/>
      <c r="E620" s="16"/>
    </row>
    <row r="621">
      <c r="A621" s="16"/>
      <c r="C621" s="16"/>
      <c r="D621" s="16"/>
      <c r="E621" s="16"/>
    </row>
    <row r="622">
      <c r="A622" s="16"/>
      <c r="C622" s="16"/>
      <c r="D622" s="16"/>
      <c r="E622" s="16"/>
    </row>
    <row r="623">
      <c r="A623" s="16"/>
      <c r="C623" s="16"/>
      <c r="D623" s="16"/>
      <c r="E623" s="16"/>
    </row>
    <row r="624">
      <c r="A624" s="16"/>
      <c r="C624" s="16"/>
      <c r="D624" s="16"/>
      <c r="E624" s="16"/>
    </row>
    <row r="625">
      <c r="A625" s="16"/>
      <c r="C625" s="16"/>
      <c r="D625" s="16"/>
      <c r="E625" s="16"/>
    </row>
    <row r="626">
      <c r="A626" s="16"/>
      <c r="C626" s="16"/>
      <c r="D626" s="16"/>
      <c r="E626" s="16"/>
    </row>
    <row r="627">
      <c r="A627" s="16"/>
      <c r="C627" s="16"/>
      <c r="D627" s="16"/>
      <c r="E627" s="16"/>
    </row>
    <row r="628">
      <c r="A628" s="16"/>
      <c r="C628" s="16"/>
      <c r="D628" s="16"/>
      <c r="E628" s="16"/>
    </row>
    <row r="629">
      <c r="A629" s="16"/>
      <c r="C629" s="16"/>
      <c r="D629" s="16"/>
      <c r="E629" s="16"/>
    </row>
    <row r="630">
      <c r="A630" s="16"/>
      <c r="C630" s="16"/>
      <c r="D630" s="16"/>
      <c r="E630" s="16"/>
    </row>
    <row r="631">
      <c r="A631" s="16"/>
      <c r="C631" s="16"/>
      <c r="D631" s="16"/>
      <c r="E631" s="16"/>
    </row>
    <row r="632">
      <c r="A632" s="16"/>
      <c r="C632" s="16"/>
      <c r="D632" s="16"/>
      <c r="E632" s="16"/>
    </row>
    <row r="633">
      <c r="A633" s="16"/>
      <c r="C633" s="16"/>
      <c r="D633" s="16"/>
      <c r="E633" s="16"/>
    </row>
    <row r="634">
      <c r="A634" s="16"/>
      <c r="C634" s="16"/>
      <c r="D634" s="16"/>
      <c r="E634" s="16"/>
    </row>
    <row r="635">
      <c r="A635" s="16"/>
      <c r="C635" s="16"/>
      <c r="D635" s="16"/>
      <c r="E635" s="16"/>
    </row>
    <row r="636">
      <c r="A636" s="16"/>
      <c r="C636" s="16"/>
      <c r="D636" s="16"/>
      <c r="E636" s="16"/>
    </row>
    <row r="637">
      <c r="A637" s="16"/>
      <c r="C637" s="16"/>
      <c r="D637" s="16"/>
      <c r="E637" s="16"/>
    </row>
    <row r="638">
      <c r="A638" s="16"/>
      <c r="C638" s="16"/>
      <c r="D638" s="16"/>
      <c r="E638" s="16"/>
    </row>
    <row r="639">
      <c r="A639" s="16"/>
      <c r="C639" s="16"/>
      <c r="D639" s="16"/>
      <c r="E639" s="16"/>
    </row>
    <row r="640">
      <c r="A640" s="16"/>
      <c r="C640" s="16"/>
      <c r="D640" s="16"/>
      <c r="E640" s="16"/>
    </row>
    <row r="641">
      <c r="A641" s="16"/>
      <c r="C641" s="16"/>
      <c r="D641" s="16"/>
      <c r="E641" s="16"/>
    </row>
    <row r="642">
      <c r="A642" s="16"/>
      <c r="C642" s="16"/>
      <c r="D642" s="16"/>
      <c r="E642" s="16"/>
    </row>
    <row r="643">
      <c r="A643" s="16"/>
      <c r="C643" s="16"/>
      <c r="D643" s="16"/>
      <c r="E643" s="16"/>
    </row>
    <row r="644">
      <c r="A644" s="16"/>
      <c r="C644" s="16"/>
      <c r="D644" s="16"/>
      <c r="E644" s="16"/>
    </row>
    <row r="645">
      <c r="A645" s="16"/>
      <c r="C645" s="16"/>
      <c r="D645" s="16"/>
      <c r="E645" s="16"/>
    </row>
    <row r="646">
      <c r="A646" s="16"/>
      <c r="C646" s="16"/>
      <c r="D646" s="16"/>
      <c r="E646" s="16"/>
    </row>
    <row r="647">
      <c r="A647" s="16"/>
      <c r="C647" s="16"/>
      <c r="D647" s="16"/>
      <c r="E647" s="16"/>
    </row>
    <row r="648">
      <c r="A648" s="16"/>
      <c r="C648" s="16"/>
      <c r="D648" s="16"/>
      <c r="E648" s="16"/>
    </row>
    <row r="649">
      <c r="A649" s="16"/>
      <c r="C649" s="16"/>
      <c r="D649" s="16"/>
      <c r="E649" s="16"/>
    </row>
    <row r="650">
      <c r="A650" s="16"/>
      <c r="C650" s="16"/>
      <c r="D650" s="16"/>
      <c r="E650" s="16"/>
    </row>
    <row r="651">
      <c r="A651" s="16"/>
      <c r="C651" s="16"/>
      <c r="D651" s="16"/>
      <c r="E651" s="16"/>
    </row>
    <row r="652">
      <c r="A652" s="16"/>
      <c r="C652" s="16"/>
      <c r="D652" s="16"/>
      <c r="E652" s="16"/>
    </row>
    <row r="653">
      <c r="A653" s="16"/>
      <c r="C653" s="16"/>
      <c r="D653" s="16"/>
      <c r="E653" s="16"/>
    </row>
    <row r="654">
      <c r="A654" s="16"/>
      <c r="C654" s="16"/>
      <c r="D654" s="16"/>
      <c r="E654" s="16"/>
    </row>
    <row r="655">
      <c r="A655" s="16"/>
      <c r="C655" s="16"/>
      <c r="D655" s="16"/>
      <c r="E655" s="16"/>
    </row>
    <row r="656">
      <c r="A656" s="16"/>
      <c r="C656" s="16"/>
      <c r="D656" s="16"/>
      <c r="E656" s="16"/>
    </row>
    <row r="657">
      <c r="A657" s="16"/>
      <c r="C657" s="16"/>
      <c r="D657" s="16"/>
      <c r="E657" s="16"/>
    </row>
    <row r="658">
      <c r="A658" s="16"/>
      <c r="C658" s="16"/>
      <c r="D658" s="16"/>
      <c r="E658" s="16"/>
    </row>
    <row r="659">
      <c r="A659" s="16"/>
      <c r="C659" s="16"/>
      <c r="D659" s="16"/>
      <c r="E659" s="16"/>
    </row>
    <row r="660">
      <c r="A660" s="16"/>
      <c r="C660" s="16"/>
      <c r="D660" s="16"/>
      <c r="E660" s="16"/>
    </row>
    <row r="661">
      <c r="A661" s="16"/>
      <c r="C661" s="16"/>
      <c r="D661" s="16"/>
      <c r="E661" s="16"/>
    </row>
    <row r="662">
      <c r="A662" s="16"/>
      <c r="C662" s="16"/>
      <c r="D662" s="16"/>
      <c r="E662" s="16"/>
    </row>
    <row r="663">
      <c r="A663" s="16"/>
      <c r="C663" s="16"/>
      <c r="D663" s="16"/>
      <c r="E663" s="16"/>
    </row>
    <row r="664">
      <c r="A664" s="16"/>
      <c r="C664" s="16"/>
      <c r="D664" s="16"/>
      <c r="E664" s="16"/>
    </row>
    <row r="665">
      <c r="A665" s="16"/>
      <c r="C665" s="16"/>
      <c r="D665" s="16"/>
      <c r="E665" s="16"/>
    </row>
    <row r="666">
      <c r="A666" s="16"/>
      <c r="C666" s="16"/>
      <c r="D666" s="16"/>
      <c r="E666" s="16"/>
    </row>
    <row r="667">
      <c r="A667" s="16"/>
      <c r="C667" s="16"/>
      <c r="D667" s="16"/>
      <c r="E667" s="16"/>
    </row>
    <row r="668">
      <c r="A668" s="16"/>
      <c r="C668" s="16"/>
      <c r="D668" s="16"/>
      <c r="E668" s="16"/>
    </row>
    <row r="669">
      <c r="A669" s="16"/>
      <c r="C669" s="16"/>
      <c r="D669" s="16"/>
      <c r="E669" s="16"/>
    </row>
    <row r="670">
      <c r="A670" s="16"/>
      <c r="C670" s="16"/>
      <c r="D670" s="16"/>
      <c r="E670" s="16"/>
    </row>
    <row r="671">
      <c r="A671" s="16"/>
      <c r="C671" s="16"/>
      <c r="D671" s="16"/>
      <c r="E671" s="16"/>
    </row>
    <row r="672">
      <c r="A672" s="16"/>
      <c r="C672" s="16"/>
      <c r="D672" s="16"/>
      <c r="E672" s="16"/>
    </row>
    <row r="673">
      <c r="A673" s="16"/>
      <c r="C673" s="16"/>
      <c r="D673" s="16"/>
      <c r="E673" s="16"/>
    </row>
    <row r="674">
      <c r="A674" s="16"/>
      <c r="C674" s="16"/>
      <c r="D674" s="16"/>
      <c r="E674" s="16"/>
    </row>
    <row r="675">
      <c r="A675" s="16"/>
      <c r="C675" s="16"/>
      <c r="D675" s="16"/>
      <c r="E675" s="16"/>
    </row>
    <row r="676">
      <c r="A676" s="16"/>
      <c r="C676" s="16"/>
      <c r="D676" s="16"/>
      <c r="E676" s="16"/>
    </row>
    <row r="677">
      <c r="A677" s="16"/>
      <c r="C677" s="16"/>
      <c r="D677" s="16"/>
      <c r="E677" s="16"/>
    </row>
    <row r="678">
      <c r="A678" s="16"/>
      <c r="C678" s="16"/>
      <c r="D678" s="16"/>
      <c r="E678" s="16"/>
    </row>
    <row r="679">
      <c r="A679" s="16"/>
      <c r="C679" s="16"/>
      <c r="D679" s="16"/>
      <c r="E679" s="16"/>
    </row>
    <row r="680">
      <c r="A680" s="16"/>
      <c r="C680" s="16"/>
      <c r="D680" s="16"/>
      <c r="E680" s="16"/>
    </row>
    <row r="681">
      <c r="A681" s="16"/>
      <c r="C681" s="16"/>
      <c r="D681" s="16"/>
      <c r="E681" s="16"/>
    </row>
    <row r="682">
      <c r="A682" s="16"/>
      <c r="C682" s="16"/>
      <c r="D682" s="16"/>
      <c r="E682" s="16"/>
    </row>
    <row r="683">
      <c r="A683" s="16"/>
      <c r="C683" s="16"/>
      <c r="D683" s="16"/>
      <c r="E683" s="16"/>
    </row>
    <row r="684">
      <c r="A684" s="16"/>
      <c r="C684" s="16"/>
      <c r="D684" s="16"/>
      <c r="E684" s="16"/>
    </row>
    <row r="685">
      <c r="A685" s="16"/>
      <c r="C685" s="16"/>
      <c r="D685" s="16"/>
      <c r="E685" s="16"/>
    </row>
    <row r="686">
      <c r="A686" s="16"/>
      <c r="C686" s="16"/>
      <c r="D686" s="16"/>
      <c r="E686" s="16"/>
    </row>
    <row r="687">
      <c r="A687" s="16"/>
      <c r="C687" s="16"/>
      <c r="D687" s="16"/>
      <c r="E687" s="16"/>
    </row>
    <row r="688">
      <c r="A688" s="16"/>
      <c r="C688" s="16"/>
      <c r="D688" s="16"/>
      <c r="E688" s="16"/>
    </row>
    <row r="689">
      <c r="A689" s="16"/>
      <c r="C689" s="16"/>
      <c r="D689" s="16"/>
      <c r="E689" s="16"/>
    </row>
    <row r="690">
      <c r="A690" s="16"/>
      <c r="C690" s="16"/>
      <c r="D690" s="16"/>
      <c r="E690" s="16"/>
    </row>
    <row r="691">
      <c r="A691" s="16"/>
      <c r="C691" s="16"/>
      <c r="D691" s="16"/>
      <c r="E691" s="16"/>
    </row>
    <row r="692">
      <c r="A692" s="16"/>
      <c r="C692" s="16"/>
      <c r="D692" s="16"/>
      <c r="E692" s="16"/>
    </row>
    <row r="693">
      <c r="A693" s="16"/>
      <c r="C693" s="16"/>
      <c r="D693" s="16"/>
      <c r="E693" s="16"/>
    </row>
    <row r="694">
      <c r="A694" s="16"/>
      <c r="C694" s="16"/>
      <c r="D694" s="16"/>
      <c r="E694" s="16"/>
    </row>
    <row r="695">
      <c r="A695" s="16"/>
      <c r="C695" s="16"/>
      <c r="D695" s="16"/>
      <c r="E695" s="16"/>
    </row>
    <row r="696">
      <c r="A696" s="16"/>
      <c r="C696" s="16"/>
      <c r="D696" s="16"/>
      <c r="E696" s="16"/>
    </row>
    <row r="697">
      <c r="A697" s="16"/>
      <c r="C697" s="16"/>
      <c r="D697" s="16"/>
      <c r="E697" s="16"/>
    </row>
    <row r="698">
      <c r="A698" s="16"/>
      <c r="C698" s="16"/>
      <c r="D698" s="16"/>
      <c r="E698" s="16"/>
    </row>
    <row r="699">
      <c r="A699" s="16"/>
      <c r="C699" s="16"/>
      <c r="D699" s="16"/>
      <c r="E699" s="16"/>
    </row>
    <row r="700">
      <c r="A700" s="16"/>
      <c r="C700" s="16"/>
      <c r="D700" s="16"/>
      <c r="E700" s="16"/>
    </row>
    <row r="701">
      <c r="A701" s="16"/>
      <c r="C701" s="16"/>
      <c r="D701" s="16"/>
      <c r="E701" s="16"/>
    </row>
    <row r="702">
      <c r="A702" s="16"/>
      <c r="C702" s="16"/>
      <c r="D702" s="16"/>
      <c r="E702" s="16"/>
    </row>
    <row r="703">
      <c r="A703" s="16"/>
      <c r="C703" s="16"/>
      <c r="D703" s="16"/>
      <c r="E703" s="16"/>
    </row>
    <row r="704">
      <c r="A704" s="16"/>
      <c r="C704" s="16"/>
      <c r="D704" s="16"/>
      <c r="E704" s="16"/>
    </row>
    <row r="705">
      <c r="A705" s="16"/>
      <c r="C705" s="16"/>
      <c r="D705" s="16"/>
      <c r="E705" s="16"/>
    </row>
    <row r="706">
      <c r="A706" s="16"/>
      <c r="C706" s="16"/>
      <c r="D706" s="16"/>
      <c r="E706" s="16"/>
    </row>
    <row r="707">
      <c r="A707" s="16"/>
      <c r="C707" s="16"/>
      <c r="D707" s="16"/>
      <c r="E707" s="16"/>
    </row>
    <row r="708">
      <c r="A708" s="16"/>
      <c r="C708" s="16"/>
      <c r="D708" s="16"/>
      <c r="E708" s="16"/>
    </row>
    <row r="709">
      <c r="A709" s="16"/>
      <c r="C709" s="16"/>
      <c r="D709" s="16"/>
      <c r="E709" s="16"/>
    </row>
    <row r="710">
      <c r="A710" s="16"/>
      <c r="C710" s="16"/>
      <c r="D710" s="16"/>
      <c r="E710" s="16"/>
    </row>
    <row r="711">
      <c r="A711" s="16"/>
      <c r="C711" s="16"/>
      <c r="D711" s="16"/>
      <c r="E711" s="16"/>
    </row>
    <row r="712">
      <c r="A712" s="16"/>
      <c r="C712" s="16"/>
      <c r="D712" s="16"/>
      <c r="E712" s="16"/>
    </row>
    <row r="713">
      <c r="A713" s="16"/>
      <c r="C713" s="16"/>
      <c r="D713" s="16"/>
      <c r="E713" s="16"/>
    </row>
    <row r="714">
      <c r="A714" s="16"/>
      <c r="C714" s="16"/>
      <c r="D714" s="16"/>
      <c r="E714" s="16"/>
    </row>
    <row r="715">
      <c r="A715" s="16"/>
      <c r="C715" s="16"/>
      <c r="D715" s="16"/>
      <c r="E715" s="16"/>
    </row>
    <row r="716">
      <c r="A716" s="16"/>
      <c r="C716" s="16"/>
      <c r="D716" s="16"/>
      <c r="E716" s="16"/>
    </row>
    <row r="717">
      <c r="A717" s="16"/>
      <c r="C717" s="16"/>
      <c r="D717" s="16"/>
      <c r="E717" s="16"/>
    </row>
    <row r="718">
      <c r="A718" s="16"/>
      <c r="C718" s="16"/>
      <c r="D718" s="16"/>
      <c r="E718" s="16"/>
    </row>
    <row r="719">
      <c r="A719" s="16"/>
      <c r="C719" s="16"/>
      <c r="D719" s="16"/>
      <c r="E719" s="16"/>
    </row>
    <row r="720">
      <c r="A720" s="16"/>
      <c r="C720" s="16"/>
      <c r="D720" s="16"/>
      <c r="E720" s="16"/>
    </row>
    <row r="721">
      <c r="A721" s="16"/>
      <c r="C721" s="16"/>
      <c r="D721" s="16"/>
      <c r="E721" s="16"/>
    </row>
    <row r="722">
      <c r="A722" s="16"/>
      <c r="C722" s="16"/>
      <c r="D722" s="16"/>
      <c r="E722" s="16"/>
    </row>
    <row r="723">
      <c r="A723" s="16"/>
      <c r="C723" s="16"/>
      <c r="D723" s="16"/>
      <c r="E723" s="16"/>
    </row>
    <row r="724">
      <c r="A724" s="16"/>
      <c r="C724" s="16"/>
      <c r="D724" s="16"/>
      <c r="E724" s="16"/>
    </row>
    <row r="725">
      <c r="A725" s="16"/>
      <c r="C725" s="16"/>
      <c r="D725" s="16"/>
      <c r="E725" s="16"/>
    </row>
    <row r="726">
      <c r="A726" s="16"/>
      <c r="C726" s="16"/>
      <c r="D726" s="16"/>
      <c r="E726" s="16"/>
    </row>
    <row r="727">
      <c r="A727" s="16"/>
      <c r="C727" s="16"/>
      <c r="D727" s="16"/>
      <c r="E727" s="16"/>
    </row>
    <row r="728">
      <c r="A728" s="16"/>
      <c r="C728" s="16"/>
      <c r="D728" s="16"/>
      <c r="E728" s="16"/>
    </row>
    <row r="729">
      <c r="A729" s="16"/>
      <c r="C729" s="16"/>
      <c r="D729" s="16"/>
      <c r="E729" s="16"/>
    </row>
    <row r="730">
      <c r="A730" s="16"/>
      <c r="C730" s="16"/>
      <c r="D730" s="16"/>
      <c r="E730" s="16"/>
    </row>
    <row r="731">
      <c r="A731" s="16"/>
      <c r="C731" s="16"/>
      <c r="D731" s="16"/>
      <c r="E731" s="16"/>
    </row>
    <row r="732">
      <c r="A732" s="16"/>
      <c r="C732" s="16"/>
      <c r="D732" s="16"/>
      <c r="E732" s="16"/>
    </row>
    <row r="733">
      <c r="A733" s="16"/>
      <c r="C733" s="16"/>
      <c r="D733" s="16"/>
      <c r="E733" s="16"/>
    </row>
    <row r="734">
      <c r="A734" s="16"/>
      <c r="C734" s="16"/>
      <c r="D734" s="16"/>
      <c r="E734" s="16"/>
    </row>
    <row r="735">
      <c r="A735" s="16"/>
      <c r="C735" s="16"/>
      <c r="D735" s="16"/>
      <c r="E735" s="16"/>
    </row>
    <row r="736">
      <c r="A736" s="16"/>
      <c r="C736" s="16"/>
      <c r="D736" s="16"/>
      <c r="E736" s="16"/>
    </row>
    <row r="737">
      <c r="A737" s="16"/>
      <c r="C737" s="16"/>
      <c r="D737" s="16"/>
      <c r="E737" s="16"/>
    </row>
    <row r="738">
      <c r="A738" s="16"/>
      <c r="C738" s="16"/>
      <c r="D738" s="16"/>
      <c r="E738" s="16"/>
    </row>
    <row r="739">
      <c r="A739" s="16"/>
      <c r="C739" s="16"/>
      <c r="D739" s="16"/>
      <c r="E739" s="16"/>
    </row>
    <row r="740">
      <c r="A740" s="16"/>
      <c r="C740" s="16"/>
      <c r="D740" s="16"/>
      <c r="E740" s="16"/>
    </row>
    <row r="741">
      <c r="A741" s="16"/>
      <c r="C741" s="16"/>
      <c r="D741" s="16"/>
      <c r="E741" s="16"/>
    </row>
    <row r="742">
      <c r="A742" s="16"/>
      <c r="C742" s="16"/>
      <c r="D742" s="16"/>
      <c r="E742" s="16"/>
    </row>
    <row r="743">
      <c r="A743" s="16"/>
      <c r="C743" s="16"/>
      <c r="D743" s="16"/>
      <c r="E743" s="16"/>
    </row>
    <row r="744">
      <c r="A744" s="16"/>
      <c r="C744" s="16"/>
      <c r="D744" s="16"/>
      <c r="E744" s="16"/>
    </row>
    <row r="745">
      <c r="A745" s="16"/>
      <c r="C745" s="16"/>
      <c r="D745" s="16"/>
      <c r="E745" s="16"/>
    </row>
    <row r="746">
      <c r="A746" s="16"/>
      <c r="C746" s="16"/>
      <c r="D746" s="16"/>
      <c r="E746" s="16"/>
    </row>
    <row r="747">
      <c r="A747" s="16"/>
      <c r="C747" s="16"/>
      <c r="D747" s="16"/>
      <c r="E747" s="16"/>
    </row>
    <row r="748">
      <c r="A748" s="16"/>
      <c r="C748" s="16"/>
      <c r="D748" s="16"/>
      <c r="E748" s="16"/>
    </row>
    <row r="749">
      <c r="A749" s="16"/>
      <c r="C749" s="16"/>
      <c r="D749" s="16"/>
      <c r="E749" s="16"/>
    </row>
    <row r="750">
      <c r="A750" s="16"/>
      <c r="C750" s="16"/>
      <c r="D750" s="16"/>
      <c r="E750" s="16"/>
    </row>
    <row r="751">
      <c r="A751" s="16"/>
      <c r="C751" s="16"/>
      <c r="D751" s="16"/>
      <c r="E751" s="16"/>
    </row>
    <row r="752">
      <c r="A752" s="16"/>
      <c r="C752" s="16"/>
      <c r="D752" s="16"/>
      <c r="E752" s="16"/>
    </row>
    <row r="753">
      <c r="A753" s="16"/>
      <c r="C753" s="16"/>
      <c r="D753" s="16"/>
      <c r="E753" s="16"/>
    </row>
    <row r="754">
      <c r="A754" s="16"/>
      <c r="C754" s="16"/>
      <c r="D754" s="16"/>
      <c r="E754" s="16"/>
    </row>
    <row r="755">
      <c r="A755" s="16"/>
      <c r="C755" s="16"/>
      <c r="D755" s="16"/>
      <c r="E755" s="16"/>
    </row>
    <row r="756">
      <c r="A756" s="16"/>
      <c r="C756" s="16"/>
      <c r="D756" s="16"/>
      <c r="E756" s="16"/>
    </row>
    <row r="757">
      <c r="A757" s="16"/>
      <c r="C757" s="16"/>
      <c r="D757" s="16"/>
      <c r="E757" s="16"/>
    </row>
    <row r="758">
      <c r="A758" s="16"/>
      <c r="C758" s="16"/>
      <c r="D758" s="16"/>
      <c r="E758" s="16"/>
    </row>
    <row r="759">
      <c r="A759" s="16"/>
      <c r="C759" s="16"/>
      <c r="D759" s="16"/>
      <c r="E759" s="16"/>
    </row>
    <row r="760">
      <c r="A760" s="16"/>
      <c r="C760" s="16"/>
      <c r="D760" s="16"/>
      <c r="E760" s="16"/>
    </row>
    <row r="761">
      <c r="A761" s="16"/>
      <c r="C761" s="16"/>
      <c r="D761" s="16"/>
      <c r="E761" s="16"/>
    </row>
    <row r="762">
      <c r="A762" s="16"/>
      <c r="C762" s="16"/>
      <c r="D762" s="16"/>
      <c r="E762" s="16"/>
    </row>
    <row r="763">
      <c r="A763" s="16"/>
      <c r="C763" s="16"/>
      <c r="D763" s="16"/>
      <c r="E763" s="16"/>
    </row>
    <row r="764">
      <c r="A764" s="16"/>
      <c r="C764" s="16"/>
      <c r="D764" s="16"/>
      <c r="E764" s="16"/>
    </row>
    <row r="765">
      <c r="A765" s="16"/>
      <c r="C765" s="16"/>
      <c r="D765" s="16"/>
      <c r="E765" s="16"/>
    </row>
    <row r="766">
      <c r="A766" s="16"/>
      <c r="C766" s="16"/>
      <c r="D766" s="16"/>
      <c r="E766" s="16"/>
    </row>
    <row r="767">
      <c r="A767" s="16"/>
      <c r="C767" s="16"/>
      <c r="D767" s="16"/>
      <c r="E767" s="16"/>
    </row>
    <row r="768">
      <c r="A768" s="16"/>
      <c r="C768" s="16"/>
      <c r="D768" s="16"/>
      <c r="E768" s="16"/>
    </row>
    <row r="769">
      <c r="A769" s="16"/>
      <c r="C769" s="16"/>
      <c r="D769" s="16"/>
      <c r="E769" s="16"/>
    </row>
    <row r="770">
      <c r="A770" s="16"/>
      <c r="C770" s="16"/>
      <c r="D770" s="16"/>
      <c r="E770" s="16"/>
    </row>
    <row r="771">
      <c r="A771" s="16"/>
      <c r="C771" s="16"/>
      <c r="D771" s="16"/>
      <c r="E771" s="16"/>
    </row>
    <row r="772">
      <c r="A772" s="16"/>
      <c r="C772" s="16"/>
      <c r="D772" s="16"/>
      <c r="E772" s="16"/>
    </row>
    <row r="773">
      <c r="A773" s="16"/>
      <c r="C773" s="16"/>
      <c r="D773" s="16"/>
      <c r="E773" s="16"/>
    </row>
    <row r="774">
      <c r="A774" s="16"/>
      <c r="C774" s="16"/>
      <c r="D774" s="16"/>
      <c r="E774" s="16"/>
    </row>
    <row r="775">
      <c r="A775" s="16"/>
      <c r="C775" s="16"/>
      <c r="D775" s="16"/>
      <c r="E775" s="16"/>
    </row>
    <row r="776">
      <c r="A776" s="16"/>
      <c r="C776" s="16"/>
      <c r="D776" s="16"/>
      <c r="E776" s="16"/>
    </row>
    <row r="777">
      <c r="A777" s="16"/>
      <c r="C777" s="16"/>
      <c r="D777" s="16"/>
      <c r="E777" s="16"/>
    </row>
    <row r="778">
      <c r="A778" s="16"/>
      <c r="C778" s="16"/>
      <c r="D778" s="16"/>
      <c r="E778" s="16"/>
    </row>
    <row r="779">
      <c r="A779" s="16"/>
      <c r="C779" s="16"/>
      <c r="D779" s="16"/>
      <c r="E779" s="16"/>
    </row>
    <row r="780">
      <c r="A780" s="16"/>
      <c r="C780" s="16"/>
      <c r="D780" s="16"/>
      <c r="E780" s="16"/>
    </row>
    <row r="781">
      <c r="A781" s="16"/>
      <c r="C781" s="16"/>
      <c r="D781" s="16"/>
      <c r="E781" s="16"/>
    </row>
    <row r="782">
      <c r="A782" s="16"/>
      <c r="C782" s="16"/>
      <c r="D782" s="16"/>
      <c r="E782" s="16"/>
    </row>
    <row r="783">
      <c r="A783" s="16"/>
      <c r="C783" s="16"/>
      <c r="D783" s="16"/>
      <c r="E783" s="16"/>
    </row>
    <row r="784">
      <c r="A784" s="16"/>
      <c r="C784" s="16"/>
      <c r="D784" s="16"/>
      <c r="E784" s="16"/>
    </row>
    <row r="785">
      <c r="A785" s="16"/>
      <c r="C785" s="16"/>
      <c r="D785" s="16"/>
      <c r="E785" s="16"/>
    </row>
    <row r="786">
      <c r="A786" s="16"/>
      <c r="C786" s="16"/>
      <c r="D786" s="16"/>
      <c r="E786" s="16"/>
    </row>
    <row r="787">
      <c r="A787" s="16"/>
      <c r="C787" s="16"/>
      <c r="D787" s="16"/>
      <c r="E787" s="16"/>
    </row>
    <row r="788">
      <c r="A788" s="16"/>
      <c r="C788" s="16"/>
      <c r="D788" s="16"/>
      <c r="E788" s="16"/>
    </row>
    <row r="789">
      <c r="A789" s="16"/>
      <c r="C789" s="16"/>
      <c r="D789" s="16"/>
      <c r="E789" s="16"/>
    </row>
    <row r="790">
      <c r="A790" s="16"/>
      <c r="C790" s="16"/>
      <c r="D790" s="16"/>
      <c r="E790" s="16"/>
    </row>
    <row r="791">
      <c r="A791" s="16"/>
      <c r="C791" s="16"/>
      <c r="D791" s="16"/>
      <c r="E791" s="16"/>
    </row>
    <row r="792">
      <c r="A792" s="16"/>
      <c r="C792" s="16"/>
      <c r="D792" s="16"/>
      <c r="E792" s="16"/>
    </row>
    <row r="793">
      <c r="A793" s="16"/>
      <c r="C793" s="16"/>
      <c r="D793" s="16"/>
      <c r="E793" s="16"/>
    </row>
    <row r="794">
      <c r="A794" s="16"/>
      <c r="C794" s="16"/>
      <c r="D794" s="16"/>
      <c r="E794" s="16"/>
    </row>
    <row r="795">
      <c r="A795" s="16"/>
      <c r="C795" s="16"/>
      <c r="D795" s="16"/>
      <c r="E795" s="16"/>
    </row>
    <row r="796">
      <c r="A796" s="16"/>
      <c r="C796" s="16"/>
      <c r="D796" s="16"/>
      <c r="E796" s="16"/>
    </row>
    <row r="797">
      <c r="A797" s="16"/>
      <c r="C797" s="16"/>
      <c r="D797" s="16"/>
      <c r="E797" s="16"/>
    </row>
    <row r="798">
      <c r="A798" s="16"/>
      <c r="C798" s="16"/>
      <c r="D798" s="16"/>
      <c r="E798" s="16"/>
    </row>
    <row r="799">
      <c r="A799" s="16"/>
      <c r="C799" s="16"/>
      <c r="D799" s="16"/>
      <c r="E799" s="16"/>
    </row>
    <row r="800">
      <c r="A800" s="16"/>
      <c r="C800" s="16"/>
      <c r="D800" s="16"/>
      <c r="E800" s="16"/>
    </row>
    <row r="801">
      <c r="A801" s="16"/>
      <c r="C801" s="16"/>
      <c r="D801" s="16"/>
      <c r="E801" s="16"/>
    </row>
    <row r="802">
      <c r="A802" s="16"/>
      <c r="C802" s="16"/>
      <c r="D802" s="16"/>
      <c r="E802" s="16"/>
    </row>
    <row r="803">
      <c r="A803" s="16"/>
      <c r="C803" s="16"/>
      <c r="D803" s="16"/>
      <c r="E803" s="16"/>
    </row>
    <row r="804">
      <c r="A804" s="16"/>
      <c r="C804" s="16"/>
      <c r="D804" s="16"/>
      <c r="E804" s="16"/>
    </row>
    <row r="805">
      <c r="A805" s="16"/>
      <c r="C805" s="16"/>
      <c r="D805" s="16"/>
      <c r="E805" s="16"/>
    </row>
    <row r="806">
      <c r="A806" s="16"/>
      <c r="C806" s="16"/>
      <c r="D806" s="16"/>
      <c r="E806" s="16"/>
    </row>
    <row r="807">
      <c r="A807" s="16"/>
      <c r="C807" s="16"/>
      <c r="D807" s="16"/>
      <c r="E807" s="16"/>
    </row>
    <row r="808">
      <c r="A808" s="16"/>
      <c r="C808" s="16"/>
      <c r="D808" s="16"/>
      <c r="E808" s="16"/>
    </row>
    <row r="809">
      <c r="A809" s="16"/>
      <c r="C809" s="16"/>
      <c r="D809" s="16"/>
      <c r="E809" s="16"/>
    </row>
    <row r="810">
      <c r="A810" s="16"/>
      <c r="C810" s="16"/>
      <c r="D810" s="16"/>
      <c r="E810" s="16"/>
    </row>
    <row r="811">
      <c r="A811" s="16"/>
      <c r="C811" s="16"/>
      <c r="D811" s="16"/>
      <c r="E811" s="16"/>
    </row>
    <row r="812">
      <c r="A812" s="16"/>
      <c r="C812" s="16"/>
      <c r="D812" s="16"/>
      <c r="E812" s="16"/>
    </row>
    <row r="813">
      <c r="A813" s="16"/>
      <c r="C813" s="16"/>
      <c r="D813" s="16"/>
      <c r="E813" s="16"/>
    </row>
    <row r="814">
      <c r="A814" s="16"/>
      <c r="C814" s="16"/>
      <c r="D814" s="16"/>
      <c r="E814" s="16"/>
    </row>
    <row r="815">
      <c r="A815" s="16"/>
      <c r="C815" s="16"/>
      <c r="D815" s="16"/>
      <c r="E815" s="16"/>
    </row>
    <row r="816">
      <c r="A816" s="16"/>
      <c r="C816" s="16"/>
      <c r="D816" s="16"/>
      <c r="E816" s="16"/>
    </row>
    <row r="817">
      <c r="A817" s="16"/>
      <c r="C817" s="16"/>
      <c r="D817" s="16"/>
      <c r="E817" s="16"/>
    </row>
    <row r="818">
      <c r="A818" s="16"/>
      <c r="C818" s="16"/>
      <c r="D818" s="16"/>
      <c r="E818" s="16"/>
    </row>
    <row r="819">
      <c r="A819" s="16"/>
      <c r="C819" s="16"/>
      <c r="D819" s="16"/>
      <c r="E819" s="16"/>
    </row>
    <row r="820">
      <c r="A820" s="16"/>
      <c r="C820" s="16"/>
      <c r="D820" s="16"/>
      <c r="E820" s="16"/>
    </row>
    <row r="821">
      <c r="A821" s="16"/>
      <c r="C821" s="16"/>
      <c r="D821" s="16"/>
      <c r="E821" s="16"/>
    </row>
    <row r="822">
      <c r="A822" s="16"/>
      <c r="C822" s="16"/>
      <c r="D822" s="16"/>
      <c r="E822" s="16"/>
    </row>
    <row r="823">
      <c r="A823" s="16"/>
      <c r="C823" s="16"/>
      <c r="D823" s="16"/>
      <c r="E823" s="16"/>
    </row>
    <row r="824">
      <c r="A824" s="16"/>
      <c r="C824" s="16"/>
      <c r="D824" s="16"/>
      <c r="E824" s="16"/>
    </row>
    <row r="825">
      <c r="A825" s="16"/>
      <c r="C825" s="16"/>
      <c r="D825" s="16"/>
      <c r="E825" s="16"/>
    </row>
    <row r="826">
      <c r="A826" s="16"/>
      <c r="C826" s="16"/>
      <c r="D826" s="16"/>
      <c r="E826" s="16"/>
    </row>
    <row r="827">
      <c r="A827" s="16"/>
      <c r="C827" s="16"/>
      <c r="D827" s="16"/>
      <c r="E827" s="16"/>
    </row>
    <row r="828">
      <c r="A828" s="16"/>
      <c r="C828" s="16"/>
      <c r="D828" s="16"/>
      <c r="E828" s="16"/>
    </row>
    <row r="829">
      <c r="A829" s="16"/>
      <c r="C829" s="16"/>
      <c r="D829" s="16"/>
      <c r="E829" s="16"/>
    </row>
    <row r="830">
      <c r="A830" s="16"/>
      <c r="C830" s="16"/>
      <c r="D830" s="16"/>
      <c r="E830" s="16"/>
    </row>
    <row r="831">
      <c r="A831" s="16"/>
      <c r="C831" s="16"/>
      <c r="D831" s="16"/>
      <c r="E831" s="16"/>
    </row>
    <row r="832">
      <c r="A832" s="16"/>
      <c r="C832" s="16"/>
      <c r="D832" s="16"/>
      <c r="E832" s="16"/>
    </row>
    <row r="833">
      <c r="A833" s="16"/>
      <c r="C833" s="16"/>
      <c r="D833" s="16"/>
      <c r="E833" s="16"/>
    </row>
    <row r="834">
      <c r="A834" s="16"/>
      <c r="C834" s="16"/>
      <c r="D834" s="16"/>
      <c r="E834" s="16"/>
    </row>
    <row r="835">
      <c r="A835" s="16"/>
      <c r="C835" s="16"/>
      <c r="D835" s="16"/>
      <c r="E835" s="16"/>
    </row>
    <row r="836">
      <c r="A836" s="16"/>
      <c r="C836" s="16"/>
      <c r="D836" s="16"/>
      <c r="E836" s="16"/>
    </row>
    <row r="837">
      <c r="A837" s="16"/>
      <c r="C837" s="16"/>
      <c r="D837" s="16"/>
      <c r="E837" s="16"/>
    </row>
    <row r="838">
      <c r="A838" s="16"/>
      <c r="C838" s="16"/>
      <c r="D838" s="16"/>
      <c r="E838" s="16"/>
    </row>
    <row r="839">
      <c r="A839" s="16"/>
      <c r="C839" s="16"/>
      <c r="D839" s="16"/>
      <c r="E839" s="16"/>
    </row>
    <row r="840">
      <c r="A840" s="16"/>
      <c r="C840" s="16"/>
      <c r="D840" s="16"/>
      <c r="E840" s="16"/>
    </row>
    <row r="841">
      <c r="A841" s="16"/>
      <c r="C841" s="16"/>
      <c r="D841" s="16"/>
      <c r="E841" s="16"/>
    </row>
    <row r="842">
      <c r="A842" s="16"/>
      <c r="C842" s="16"/>
      <c r="D842" s="16"/>
      <c r="E842" s="16"/>
    </row>
    <row r="843">
      <c r="A843" s="16"/>
      <c r="C843" s="16"/>
      <c r="D843" s="16"/>
      <c r="E843" s="16"/>
    </row>
    <row r="844">
      <c r="A844" s="16"/>
      <c r="C844" s="16"/>
      <c r="D844" s="16"/>
      <c r="E844" s="16"/>
    </row>
    <row r="845">
      <c r="A845" s="16"/>
      <c r="C845" s="16"/>
      <c r="D845" s="16"/>
      <c r="E845" s="16"/>
    </row>
    <row r="846">
      <c r="A846" s="16"/>
      <c r="C846" s="16"/>
      <c r="D846" s="16"/>
      <c r="E846" s="16"/>
    </row>
    <row r="847">
      <c r="A847" s="16"/>
      <c r="C847" s="16"/>
      <c r="D847" s="16"/>
      <c r="E847" s="16"/>
    </row>
    <row r="848">
      <c r="A848" s="16"/>
      <c r="C848" s="16"/>
      <c r="D848" s="16"/>
      <c r="E848" s="16"/>
    </row>
    <row r="849">
      <c r="A849" s="16"/>
      <c r="C849" s="16"/>
      <c r="D849" s="16"/>
      <c r="E849" s="16"/>
    </row>
    <row r="850">
      <c r="A850" s="16"/>
      <c r="C850" s="16"/>
      <c r="D850" s="16"/>
      <c r="E850" s="16"/>
    </row>
    <row r="851">
      <c r="A851" s="16"/>
      <c r="C851" s="16"/>
      <c r="D851" s="16"/>
      <c r="E851" s="16"/>
    </row>
    <row r="852">
      <c r="A852" s="16"/>
      <c r="C852" s="16"/>
      <c r="D852" s="16"/>
      <c r="E852" s="16"/>
    </row>
    <row r="853">
      <c r="A853" s="16"/>
      <c r="C853" s="16"/>
      <c r="D853" s="16"/>
      <c r="E853" s="16"/>
    </row>
    <row r="854">
      <c r="A854" s="16"/>
      <c r="C854" s="16"/>
      <c r="D854" s="16"/>
      <c r="E854" s="16"/>
    </row>
    <row r="855">
      <c r="A855" s="16"/>
      <c r="C855" s="16"/>
      <c r="D855" s="16"/>
      <c r="E855" s="16"/>
    </row>
    <row r="856">
      <c r="A856" s="16"/>
      <c r="C856" s="16"/>
      <c r="D856" s="16"/>
      <c r="E856" s="16"/>
    </row>
    <row r="857">
      <c r="A857" s="16"/>
      <c r="C857" s="16"/>
      <c r="D857" s="16"/>
      <c r="E857" s="16"/>
    </row>
    <row r="858">
      <c r="A858" s="16"/>
      <c r="C858" s="16"/>
      <c r="D858" s="16"/>
      <c r="E858" s="16"/>
    </row>
    <row r="859">
      <c r="A859" s="16"/>
      <c r="C859" s="16"/>
      <c r="D859" s="16"/>
      <c r="E859" s="16"/>
    </row>
    <row r="860">
      <c r="A860" s="16"/>
      <c r="C860" s="16"/>
      <c r="D860" s="16"/>
      <c r="E860" s="16"/>
    </row>
    <row r="861">
      <c r="A861" s="16"/>
      <c r="C861" s="16"/>
      <c r="D861" s="16"/>
      <c r="E861" s="16"/>
    </row>
    <row r="862">
      <c r="A862" s="16"/>
      <c r="C862" s="16"/>
      <c r="D862" s="16"/>
      <c r="E862" s="16"/>
    </row>
    <row r="863">
      <c r="A863" s="16"/>
      <c r="C863" s="16"/>
      <c r="D863" s="16"/>
      <c r="E863" s="16"/>
    </row>
    <row r="864">
      <c r="A864" s="16"/>
      <c r="C864" s="16"/>
      <c r="D864" s="16"/>
      <c r="E864" s="16"/>
    </row>
    <row r="865">
      <c r="A865" s="16"/>
      <c r="C865" s="16"/>
      <c r="D865" s="16"/>
      <c r="E865" s="16"/>
    </row>
    <row r="866">
      <c r="A866" s="16"/>
      <c r="C866" s="16"/>
      <c r="D866" s="16"/>
      <c r="E866" s="16"/>
    </row>
    <row r="867">
      <c r="A867" s="16"/>
      <c r="C867" s="16"/>
      <c r="D867" s="16"/>
      <c r="E867" s="16"/>
    </row>
    <row r="868">
      <c r="A868" s="16"/>
      <c r="C868" s="16"/>
      <c r="D868" s="16"/>
      <c r="E868" s="16"/>
    </row>
    <row r="869">
      <c r="A869" s="16"/>
      <c r="C869" s="16"/>
      <c r="D869" s="16"/>
      <c r="E869" s="16"/>
    </row>
    <row r="870">
      <c r="A870" s="16"/>
      <c r="C870" s="16"/>
      <c r="D870" s="16"/>
      <c r="E870" s="16"/>
    </row>
    <row r="871">
      <c r="A871" s="16"/>
      <c r="C871" s="16"/>
      <c r="D871" s="16"/>
      <c r="E871" s="16"/>
    </row>
    <row r="872">
      <c r="A872" s="16"/>
      <c r="C872" s="16"/>
      <c r="D872" s="16"/>
      <c r="E872" s="16"/>
    </row>
    <row r="873">
      <c r="A873" s="16"/>
      <c r="C873" s="16"/>
      <c r="D873" s="16"/>
      <c r="E873" s="16"/>
    </row>
    <row r="874">
      <c r="A874" s="16"/>
      <c r="C874" s="16"/>
      <c r="D874" s="16"/>
      <c r="E874" s="16"/>
    </row>
    <row r="875">
      <c r="A875" s="16"/>
      <c r="C875" s="16"/>
      <c r="D875" s="16"/>
      <c r="E875" s="16"/>
    </row>
    <row r="876">
      <c r="A876" s="16"/>
      <c r="C876" s="16"/>
      <c r="D876" s="16"/>
      <c r="E876" s="16"/>
    </row>
    <row r="877">
      <c r="A877" s="16"/>
      <c r="C877" s="16"/>
      <c r="D877" s="16"/>
      <c r="E877" s="16"/>
    </row>
    <row r="878">
      <c r="A878" s="16"/>
      <c r="C878" s="16"/>
      <c r="D878" s="16"/>
      <c r="E878" s="16"/>
    </row>
    <row r="879">
      <c r="A879" s="16"/>
      <c r="C879" s="16"/>
      <c r="D879" s="16"/>
      <c r="E879" s="16"/>
    </row>
    <row r="880">
      <c r="A880" s="16"/>
      <c r="C880" s="16"/>
      <c r="D880" s="16"/>
      <c r="E880" s="16"/>
    </row>
    <row r="881">
      <c r="A881" s="16"/>
      <c r="C881" s="16"/>
      <c r="D881" s="16"/>
      <c r="E881" s="16"/>
    </row>
    <row r="882">
      <c r="A882" s="16"/>
      <c r="C882" s="16"/>
      <c r="D882" s="16"/>
      <c r="E882" s="16"/>
    </row>
    <row r="883">
      <c r="A883" s="16"/>
      <c r="C883" s="16"/>
      <c r="D883" s="16"/>
      <c r="E883" s="16"/>
    </row>
    <row r="884">
      <c r="A884" s="16"/>
      <c r="C884" s="16"/>
      <c r="D884" s="16"/>
      <c r="E884" s="16"/>
    </row>
    <row r="885">
      <c r="A885" s="16"/>
      <c r="C885" s="16"/>
      <c r="D885" s="16"/>
      <c r="E885" s="16"/>
    </row>
    <row r="886">
      <c r="A886" s="16"/>
      <c r="C886" s="16"/>
      <c r="D886" s="16"/>
      <c r="E886" s="16"/>
    </row>
    <row r="887">
      <c r="A887" s="16"/>
      <c r="C887" s="16"/>
      <c r="D887" s="16"/>
      <c r="E887" s="16"/>
    </row>
    <row r="888">
      <c r="A888" s="16"/>
      <c r="C888" s="16"/>
      <c r="D888" s="16"/>
      <c r="E888" s="16"/>
    </row>
    <row r="889">
      <c r="A889" s="16"/>
      <c r="C889" s="16"/>
      <c r="D889" s="16"/>
      <c r="E889" s="16"/>
    </row>
    <row r="890">
      <c r="A890" s="16"/>
      <c r="C890" s="16"/>
      <c r="D890" s="16"/>
      <c r="E890" s="16"/>
    </row>
    <row r="891">
      <c r="A891" s="16"/>
      <c r="C891" s="16"/>
      <c r="D891" s="16"/>
      <c r="E891" s="16"/>
    </row>
    <row r="892">
      <c r="A892" s="16"/>
      <c r="C892" s="16"/>
      <c r="D892" s="16"/>
      <c r="E892" s="16"/>
    </row>
    <row r="893">
      <c r="A893" s="16"/>
      <c r="C893" s="16"/>
      <c r="D893" s="16"/>
      <c r="E893" s="16"/>
    </row>
    <row r="894">
      <c r="A894" s="16"/>
      <c r="C894" s="16"/>
      <c r="D894" s="16"/>
      <c r="E894" s="16"/>
    </row>
    <row r="895">
      <c r="A895" s="16"/>
      <c r="C895" s="16"/>
      <c r="D895" s="16"/>
      <c r="E895" s="16"/>
    </row>
    <row r="896">
      <c r="A896" s="16"/>
      <c r="C896" s="16"/>
      <c r="D896" s="16"/>
      <c r="E896" s="16"/>
    </row>
    <row r="897">
      <c r="A897" s="16"/>
      <c r="C897" s="16"/>
      <c r="D897" s="16"/>
      <c r="E897" s="16"/>
    </row>
    <row r="898">
      <c r="A898" s="16"/>
      <c r="C898" s="16"/>
      <c r="D898" s="16"/>
      <c r="E898" s="16"/>
    </row>
    <row r="899">
      <c r="A899" s="16"/>
      <c r="C899" s="16"/>
      <c r="D899" s="16"/>
      <c r="E899" s="16"/>
    </row>
    <row r="900">
      <c r="A900" s="16"/>
      <c r="C900" s="16"/>
      <c r="D900" s="16"/>
      <c r="E900" s="16"/>
    </row>
    <row r="901">
      <c r="A901" s="16"/>
      <c r="C901" s="16"/>
      <c r="D901" s="16"/>
      <c r="E901" s="16"/>
    </row>
    <row r="902">
      <c r="A902" s="16"/>
      <c r="C902" s="16"/>
      <c r="D902" s="16"/>
      <c r="E902" s="16"/>
    </row>
    <row r="903">
      <c r="A903" s="16"/>
      <c r="C903" s="16"/>
      <c r="D903" s="16"/>
      <c r="E903" s="16"/>
    </row>
    <row r="904">
      <c r="A904" s="16"/>
      <c r="C904" s="16"/>
      <c r="D904" s="16"/>
      <c r="E904" s="16"/>
    </row>
    <row r="905">
      <c r="A905" s="16"/>
      <c r="C905" s="16"/>
      <c r="D905" s="16"/>
      <c r="E905" s="16"/>
    </row>
    <row r="906">
      <c r="A906" s="16"/>
      <c r="C906" s="16"/>
      <c r="D906" s="16"/>
      <c r="E906" s="16"/>
    </row>
    <row r="907">
      <c r="A907" s="16"/>
      <c r="C907" s="16"/>
      <c r="D907" s="16"/>
      <c r="E907" s="16"/>
    </row>
    <row r="908">
      <c r="A908" s="16"/>
      <c r="C908" s="16"/>
      <c r="D908" s="16"/>
      <c r="E908" s="16"/>
    </row>
    <row r="909">
      <c r="A909" s="16"/>
      <c r="C909" s="16"/>
      <c r="D909" s="16"/>
      <c r="E909" s="16"/>
    </row>
    <row r="910">
      <c r="A910" s="16"/>
      <c r="C910" s="16"/>
      <c r="D910" s="16"/>
      <c r="E910" s="16"/>
    </row>
    <row r="911">
      <c r="A911" s="16"/>
      <c r="C911" s="16"/>
      <c r="D911" s="16"/>
      <c r="E911" s="16"/>
    </row>
    <row r="912">
      <c r="A912" s="16"/>
      <c r="C912" s="16"/>
      <c r="D912" s="16"/>
      <c r="E912" s="16"/>
    </row>
    <row r="913">
      <c r="A913" s="16"/>
      <c r="C913" s="16"/>
      <c r="D913" s="16"/>
      <c r="E913" s="16"/>
    </row>
    <row r="914">
      <c r="A914" s="16"/>
      <c r="C914" s="16"/>
      <c r="D914" s="16"/>
      <c r="E914" s="16"/>
    </row>
    <row r="915">
      <c r="A915" s="16"/>
      <c r="C915" s="16"/>
      <c r="D915" s="16"/>
      <c r="E915" s="16"/>
    </row>
    <row r="916">
      <c r="A916" s="16"/>
      <c r="C916" s="16"/>
      <c r="D916" s="16"/>
      <c r="E916" s="16"/>
    </row>
    <row r="917">
      <c r="A917" s="16"/>
      <c r="C917" s="16"/>
      <c r="D917" s="16"/>
      <c r="E917" s="16"/>
    </row>
    <row r="918">
      <c r="A918" s="16"/>
      <c r="C918" s="16"/>
      <c r="D918" s="16"/>
      <c r="E918" s="16"/>
    </row>
    <row r="919">
      <c r="A919" s="16"/>
      <c r="C919" s="16"/>
      <c r="D919" s="16"/>
      <c r="E919" s="16"/>
    </row>
    <row r="920">
      <c r="A920" s="16"/>
      <c r="C920" s="16"/>
      <c r="D920" s="16"/>
      <c r="E920" s="16"/>
    </row>
    <row r="921">
      <c r="A921" s="16"/>
      <c r="C921" s="16"/>
      <c r="D921" s="16"/>
      <c r="E921" s="16"/>
    </row>
    <row r="922">
      <c r="A922" s="16"/>
      <c r="C922" s="16"/>
      <c r="D922" s="16"/>
      <c r="E922" s="16"/>
    </row>
    <row r="923">
      <c r="A923" s="16"/>
      <c r="C923" s="16"/>
      <c r="D923" s="16"/>
      <c r="E923" s="16"/>
    </row>
    <row r="924">
      <c r="A924" s="16"/>
      <c r="C924" s="16"/>
      <c r="D924" s="16"/>
      <c r="E924" s="16"/>
    </row>
    <row r="925">
      <c r="A925" s="16"/>
      <c r="C925" s="16"/>
      <c r="D925" s="16"/>
      <c r="E925" s="16"/>
    </row>
    <row r="926">
      <c r="A926" s="16"/>
      <c r="C926" s="16"/>
      <c r="D926" s="16"/>
      <c r="E926" s="16"/>
    </row>
    <row r="927">
      <c r="A927" s="16"/>
      <c r="C927" s="16"/>
      <c r="D927" s="16"/>
      <c r="E927" s="16"/>
    </row>
    <row r="928">
      <c r="A928" s="16"/>
      <c r="C928" s="16"/>
      <c r="D928" s="16"/>
      <c r="E928" s="16"/>
    </row>
    <row r="929">
      <c r="A929" s="16"/>
      <c r="C929" s="16"/>
      <c r="D929" s="16"/>
      <c r="E929" s="16"/>
    </row>
    <row r="930">
      <c r="A930" s="16"/>
      <c r="C930" s="16"/>
      <c r="D930" s="16"/>
      <c r="E930" s="16"/>
    </row>
    <row r="931">
      <c r="A931" s="16"/>
      <c r="C931" s="16"/>
      <c r="D931" s="16"/>
      <c r="E931" s="16"/>
    </row>
    <row r="932">
      <c r="A932" s="16"/>
      <c r="C932" s="16"/>
      <c r="D932" s="16"/>
      <c r="E932" s="16"/>
    </row>
    <row r="933">
      <c r="A933" s="16"/>
      <c r="C933" s="16"/>
      <c r="D933" s="16"/>
      <c r="E933" s="16"/>
    </row>
    <row r="934">
      <c r="A934" s="16"/>
      <c r="C934" s="16"/>
      <c r="D934" s="16"/>
      <c r="E934" s="16"/>
    </row>
    <row r="935">
      <c r="A935" s="16"/>
      <c r="C935" s="16"/>
      <c r="D935" s="16"/>
      <c r="E935" s="16"/>
    </row>
    <row r="936">
      <c r="A936" s="16"/>
      <c r="C936" s="16"/>
      <c r="D936" s="16"/>
      <c r="E936" s="16"/>
    </row>
    <row r="937">
      <c r="A937" s="16"/>
      <c r="C937" s="16"/>
      <c r="D937" s="16"/>
      <c r="E937" s="16"/>
    </row>
    <row r="938">
      <c r="A938" s="16"/>
      <c r="C938" s="16"/>
      <c r="D938" s="16"/>
      <c r="E938" s="16"/>
    </row>
    <row r="939">
      <c r="A939" s="16"/>
      <c r="C939" s="16"/>
      <c r="D939" s="16"/>
      <c r="E939" s="16"/>
    </row>
    <row r="940">
      <c r="A940" s="16"/>
      <c r="C940" s="16"/>
      <c r="D940" s="16"/>
      <c r="E940" s="16"/>
    </row>
    <row r="941">
      <c r="A941" s="16"/>
      <c r="C941" s="16"/>
      <c r="D941" s="16"/>
      <c r="E941" s="16"/>
    </row>
    <row r="942">
      <c r="A942" s="16"/>
      <c r="C942" s="16"/>
      <c r="D942" s="16"/>
      <c r="E942" s="16"/>
    </row>
    <row r="943">
      <c r="A943" s="16"/>
      <c r="C943" s="16"/>
      <c r="D943" s="16"/>
      <c r="E943" s="16"/>
    </row>
    <row r="944">
      <c r="A944" s="16"/>
      <c r="C944" s="16"/>
      <c r="D944" s="16"/>
      <c r="E944" s="16"/>
    </row>
    <row r="945">
      <c r="A945" s="16"/>
      <c r="C945" s="16"/>
      <c r="D945" s="16"/>
      <c r="E945" s="16"/>
    </row>
    <row r="946">
      <c r="A946" s="16"/>
      <c r="C946" s="16"/>
      <c r="D946" s="16"/>
      <c r="E946" s="16"/>
    </row>
    <row r="947">
      <c r="A947" s="16"/>
      <c r="C947" s="16"/>
      <c r="D947" s="16"/>
      <c r="E947" s="16"/>
    </row>
    <row r="948">
      <c r="A948" s="16"/>
      <c r="C948" s="16"/>
      <c r="D948" s="16"/>
      <c r="E948" s="16"/>
    </row>
    <row r="949">
      <c r="A949" s="16"/>
      <c r="C949" s="16"/>
      <c r="D949" s="16"/>
      <c r="E949" s="16"/>
    </row>
    <row r="950">
      <c r="A950" s="16"/>
      <c r="C950" s="16"/>
      <c r="D950" s="16"/>
      <c r="E950" s="16"/>
    </row>
    <row r="951">
      <c r="A951" s="16"/>
      <c r="C951" s="16"/>
      <c r="D951" s="16"/>
      <c r="E951" s="16"/>
    </row>
    <row r="952">
      <c r="A952" s="16"/>
      <c r="C952" s="16"/>
      <c r="D952" s="16"/>
      <c r="E952" s="16"/>
    </row>
    <row r="953">
      <c r="A953" s="16"/>
      <c r="C953" s="16"/>
      <c r="D953" s="16"/>
      <c r="E953" s="16"/>
    </row>
    <row r="954">
      <c r="A954" s="16"/>
      <c r="C954" s="16"/>
      <c r="D954" s="16"/>
      <c r="E954" s="16"/>
    </row>
    <row r="955">
      <c r="A955" s="16"/>
      <c r="C955" s="16"/>
      <c r="D955" s="16"/>
      <c r="E955" s="16"/>
    </row>
    <row r="956">
      <c r="A956" s="16"/>
      <c r="C956" s="16"/>
      <c r="D956" s="16"/>
      <c r="E956" s="16"/>
    </row>
    <row r="957">
      <c r="A957" s="16"/>
      <c r="C957" s="16"/>
      <c r="D957" s="16"/>
      <c r="E957" s="16"/>
    </row>
    <row r="958">
      <c r="A958" s="16"/>
      <c r="C958" s="16"/>
      <c r="D958" s="16"/>
      <c r="E958" s="16"/>
    </row>
    <row r="959">
      <c r="A959" s="16"/>
      <c r="C959" s="16"/>
      <c r="D959" s="16"/>
      <c r="E959" s="16"/>
    </row>
    <row r="960">
      <c r="A960" s="16"/>
      <c r="C960" s="16"/>
      <c r="D960" s="16"/>
      <c r="E960" s="16"/>
    </row>
    <row r="961">
      <c r="A961" s="16"/>
      <c r="C961" s="16"/>
      <c r="D961" s="16"/>
      <c r="E961" s="16"/>
    </row>
    <row r="962">
      <c r="A962" s="16"/>
      <c r="C962" s="16"/>
      <c r="D962" s="16"/>
      <c r="E962" s="16"/>
    </row>
    <row r="963">
      <c r="A963" s="16"/>
      <c r="C963" s="16"/>
      <c r="D963" s="16"/>
      <c r="E963" s="16"/>
    </row>
    <row r="964">
      <c r="A964" s="16"/>
      <c r="C964" s="16"/>
      <c r="D964" s="16"/>
      <c r="E964" s="16"/>
    </row>
    <row r="965">
      <c r="A965" s="16"/>
      <c r="C965" s="16"/>
      <c r="D965" s="16"/>
      <c r="E965" s="16"/>
    </row>
    <row r="966">
      <c r="A966" s="16"/>
      <c r="C966" s="16"/>
      <c r="D966" s="16"/>
      <c r="E966" s="16"/>
    </row>
    <row r="967">
      <c r="A967" s="16"/>
      <c r="C967" s="16"/>
      <c r="D967" s="16"/>
      <c r="E967" s="16"/>
    </row>
    <row r="968">
      <c r="A968" s="16"/>
      <c r="C968" s="16"/>
      <c r="D968" s="16"/>
      <c r="E968" s="16"/>
    </row>
    <row r="969">
      <c r="A969" s="16"/>
      <c r="C969" s="16"/>
      <c r="D969" s="16"/>
      <c r="E969" s="16"/>
    </row>
    <row r="970">
      <c r="A970" s="16"/>
      <c r="C970" s="16"/>
      <c r="D970" s="16"/>
      <c r="E970" s="16"/>
    </row>
    <row r="971">
      <c r="A971" s="16"/>
      <c r="C971" s="16"/>
      <c r="D971" s="16"/>
      <c r="E971" s="16"/>
    </row>
    <row r="972">
      <c r="A972" s="16"/>
      <c r="C972" s="16"/>
      <c r="D972" s="16"/>
      <c r="E972" s="16"/>
    </row>
    <row r="973">
      <c r="A973" s="16"/>
      <c r="C973" s="16"/>
      <c r="D973" s="16"/>
      <c r="E973" s="16"/>
    </row>
    <row r="974">
      <c r="A974" s="16"/>
      <c r="C974" s="16"/>
      <c r="D974" s="16"/>
      <c r="E974" s="16"/>
    </row>
    <row r="975">
      <c r="A975" s="16"/>
      <c r="C975" s="16"/>
      <c r="D975" s="16"/>
      <c r="E975" s="16"/>
    </row>
    <row r="976">
      <c r="A976" s="16"/>
      <c r="C976" s="16"/>
      <c r="D976" s="16"/>
      <c r="E976" s="16"/>
    </row>
    <row r="977">
      <c r="A977" s="16"/>
      <c r="C977" s="16"/>
      <c r="D977" s="16"/>
      <c r="E977" s="16"/>
    </row>
    <row r="978">
      <c r="A978" s="16"/>
      <c r="C978" s="16"/>
      <c r="D978" s="16"/>
      <c r="E978" s="16"/>
    </row>
    <row r="979">
      <c r="A979" s="16"/>
      <c r="C979" s="16"/>
      <c r="D979" s="16"/>
      <c r="E979" s="16"/>
    </row>
    <row r="980">
      <c r="A980" s="16"/>
      <c r="C980" s="16"/>
      <c r="D980" s="16"/>
      <c r="E980" s="16"/>
    </row>
    <row r="981">
      <c r="A981" s="16"/>
      <c r="C981" s="16"/>
      <c r="D981" s="16"/>
      <c r="E981" s="16"/>
    </row>
    <row r="982">
      <c r="A982" s="16"/>
      <c r="C982" s="16"/>
      <c r="D982" s="16"/>
      <c r="E982" s="16"/>
    </row>
    <row r="983">
      <c r="A983" s="16"/>
      <c r="C983" s="16"/>
      <c r="D983" s="16"/>
      <c r="E983" s="16"/>
    </row>
    <row r="984">
      <c r="A984" s="16"/>
      <c r="C984" s="16"/>
      <c r="D984" s="16"/>
      <c r="E984" s="16"/>
    </row>
    <row r="985">
      <c r="A985" s="16"/>
      <c r="C985" s="16"/>
      <c r="D985" s="16"/>
      <c r="E985" s="16"/>
    </row>
    <row r="986">
      <c r="A986" s="16"/>
      <c r="C986" s="16"/>
      <c r="D986" s="16"/>
      <c r="E986" s="16"/>
    </row>
    <row r="987">
      <c r="A987" s="16"/>
      <c r="C987" s="16"/>
      <c r="D987" s="16"/>
      <c r="E987" s="16"/>
    </row>
    <row r="988">
      <c r="A988" s="16"/>
      <c r="C988" s="16"/>
      <c r="D988" s="16"/>
      <c r="E988" s="16"/>
    </row>
    <row r="989">
      <c r="A989" s="16"/>
      <c r="C989" s="16"/>
      <c r="D989" s="16"/>
      <c r="E989" s="16"/>
    </row>
    <row r="990">
      <c r="A990" s="16"/>
      <c r="C990" s="16"/>
      <c r="D990" s="16"/>
      <c r="E990" s="16"/>
    </row>
    <row r="991">
      <c r="A991" s="16"/>
      <c r="C991" s="16"/>
      <c r="D991" s="16"/>
      <c r="E991" s="16"/>
    </row>
    <row r="992">
      <c r="A992" s="16"/>
      <c r="C992" s="16"/>
      <c r="D992" s="16"/>
      <c r="E992" s="16"/>
    </row>
    <row r="993">
      <c r="A993" s="16"/>
      <c r="C993" s="16"/>
      <c r="D993" s="16"/>
      <c r="E993" s="16"/>
    </row>
    <row r="994">
      <c r="A994" s="16"/>
      <c r="C994" s="16"/>
      <c r="D994" s="16"/>
      <c r="E994" s="16"/>
    </row>
    <row r="995">
      <c r="A995" s="16"/>
      <c r="C995" s="16"/>
      <c r="D995" s="16"/>
      <c r="E995" s="16"/>
    </row>
    <row r="996">
      <c r="A996" s="16"/>
      <c r="C996" s="16"/>
      <c r="D996" s="16"/>
      <c r="E996" s="16"/>
    </row>
    <row r="997">
      <c r="A997" s="16"/>
      <c r="C997" s="16"/>
      <c r="D997" s="16"/>
      <c r="E997" s="16"/>
    </row>
  </sheetData>
  <mergeCells count="1">
    <mergeCell ref="C1:E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3.25"/>
    <col customWidth="1" min="3" max="3" width="5.25"/>
    <col customWidth="1" min="4" max="4" width="13.25"/>
    <col customWidth="1" min="5" max="5" width="5.25"/>
    <col customWidth="1" min="6" max="6" width="13.25"/>
    <col customWidth="1" min="7" max="7" width="5.25"/>
    <col customWidth="1" min="8" max="8" width="13.25"/>
    <col customWidth="1" min="9" max="9" width="5.25"/>
    <col customWidth="1" min="10" max="10" width="13.25"/>
    <col customWidth="1" min="11" max="11" width="5.25"/>
    <col customWidth="1" min="12" max="12" width="13.25"/>
    <col customWidth="1" min="13" max="13" width="5.25"/>
    <col customWidth="1" min="14" max="14" width="13.25"/>
    <col customWidth="1" min="15" max="15" width="5.25"/>
    <col customWidth="1" min="16" max="16" width="10.75"/>
  </cols>
  <sheetData>
    <row r="1">
      <c r="A1" s="30"/>
      <c r="B1" s="32"/>
      <c r="C1" s="32"/>
      <c r="D1" s="32"/>
      <c r="E1" s="32"/>
      <c r="F1" s="32"/>
      <c r="G1" s="32"/>
      <c r="H1" s="32"/>
    </row>
    <row r="2">
      <c r="B2" s="35" t="s">
        <v>43</v>
      </c>
      <c r="C2" s="36"/>
      <c r="D2" s="36"/>
      <c r="E2" s="36"/>
      <c r="F2" s="36"/>
      <c r="G2" s="36"/>
      <c r="H2" s="36"/>
      <c r="I2" s="36"/>
      <c r="J2" s="36"/>
      <c r="K2" s="36"/>
      <c r="L2" s="36"/>
      <c r="M2" s="36"/>
      <c r="N2" s="36"/>
      <c r="O2" s="37"/>
    </row>
    <row r="3">
      <c r="B3" s="39">
        <v>43569.0</v>
      </c>
      <c r="C3" s="37"/>
      <c r="D3" s="39">
        <f>B3+7</f>
        <v>43576</v>
      </c>
      <c r="E3" s="37"/>
      <c r="F3" s="39">
        <f>D3+7</f>
        <v>43583</v>
      </c>
      <c r="G3" s="37"/>
      <c r="H3" s="39">
        <f>F3+7</f>
        <v>43590</v>
      </c>
      <c r="I3" s="37"/>
      <c r="J3" s="39">
        <f>H3+7</f>
        <v>43597</v>
      </c>
      <c r="K3" s="37"/>
      <c r="L3" s="39">
        <f>J3+7</f>
        <v>43604</v>
      </c>
      <c r="M3" s="37"/>
      <c r="N3" s="39">
        <f>L3+7</f>
        <v>43611</v>
      </c>
      <c r="O3" s="37"/>
    </row>
    <row r="4">
      <c r="A4" s="50"/>
      <c r="B4" s="55" t="s">
        <v>105</v>
      </c>
      <c r="C4" s="37"/>
      <c r="D4" s="55" t="s">
        <v>108</v>
      </c>
      <c r="E4" s="37"/>
      <c r="F4" s="55" t="s">
        <v>113</v>
      </c>
      <c r="G4" s="37"/>
      <c r="H4" s="55" t="s">
        <v>114</v>
      </c>
      <c r="I4" s="37"/>
      <c r="J4" s="55" t="s">
        <v>116</v>
      </c>
      <c r="K4" s="37"/>
      <c r="L4" s="55" t="s">
        <v>119</v>
      </c>
      <c r="M4" s="37"/>
      <c r="N4" s="55" t="s">
        <v>121</v>
      </c>
      <c r="O4" s="37"/>
    </row>
    <row r="5">
      <c r="A5" s="60"/>
      <c r="B5" s="61" t="s">
        <v>12</v>
      </c>
      <c r="C5" s="62">
        <v>144.0</v>
      </c>
      <c r="D5" s="67" t="str">
        <f>B8</f>
        <v>takusto_ii</v>
      </c>
      <c r="E5" s="62">
        <v>149.0</v>
      </c>
      <c r="F5" s="67" t="str">
        <f>B12</f>
        <v>qhung49</v>
      </c>
      <c r="G5" s="62">
        <v>118.0</v>
      </c>
      <c r="H5" s="67" t="str">
        <f>B11</f>
        <v>frotes</v>
      </c>
      <c r="I5" s="62">
        <v>162.0</v>
      </c>
      <c r="J5" s="67" t="str">
        <f>B6</f>
        <v>pajada</v>
      </c>
      <c r="K5" s="62">
        <v>102.0</v>
      </c>
      <c r="L5" s="67" t="str">
        <f>B10</f>
        <v>AaronGreen</v>
      </c>
      <c r="M5" s="62">
        <v>153.0</v>
      </c>
      <c r="N5" s="67" t="str">
        <f t="shared" ref="N5:N6" si="1">B7</f>
        <v>hihihiji</v>
      </c>
      <c r="O5" s="62">
        <v>81.0</v>
      </c>
    </row>
    <row r="6">
      <c r="A6" s="60"/>
      <c r="B6" s="61" t="s">
        <v>25</v>
      </c>
      <c r="C6" s="62">
        <v>121.0</v>
      </c>
      <c r="D6" s="67" t="str">
        <f>B5</f>
        <v>LeonC</v>
      </c>
      <c r="E6" s="62">
        <v>205.0</v>
      </c>
      <c r="F6" s="67" t="str">
        <f>B6</f>
        <v>pajada</v>
      </c>
      <c r="G6" s="62">
        <v>147.0</v>
      </c>
      <c r="H6" s="67" t="str">
        <f>B7</f>
        <v>hihihiji</v>
      </c>
      <c r="I6" s="62">
        <v>163.0</v>
      </c>
      <c r="J6" s="67" t="str">
        <f>B8</f>
        <v>takusto_ii</v>
      </c>
      <c r="K6" s="62">
        <v>133.0</v>
      </c>
      <c r="L6" s="67" t="str">
        <f>B7</f>
        <v>hihihiji</v>
      </c>
      <c r="M6" s="62">
        <v>156.0</v>
      </c>
      <c r="N6" s="67" t="str">
        <f t="shared" si="1"/>
        <v>takusto_ii</v>
      </c>
      <c r="O6" s="62">
        <v>171.0</v>
      </c>
    </row>
    <row r="7">
      <c r="A7" s="60"/>
      <c r="B7" s="61" t="s">
        <v>66</v>
      </c>
      <c r="C7" s="62">
        <v>122.0</v>
      </c>
      <c r="D7" s="67" t="str">
        <f t="shared" ref="D7:D8" si="2">B10</f>
        <v>AaronGreen</v>
      </c>
      <c r="E7" s="62">
        <v>136.0</v>
      </c>
      <c r="F7" s="67" t="str">
        <f>B11</f>
        <v>frotes</v>
      </c>
      <c r="G7" s="62">
        <v>114.0</v>
      </c>
      <c r="H7" s="67" t="str">
        <f>B10</f>
        <v>AaronGreen</v>
      </c>
      <c r="I7" s="62">
        <v>166.0</v>
      </c>
      <c r="J7" s="67" t="str">
        <f>B10</f>
        <v>AaronGreen</v>
      </c>
      <c r="K7" s="62">
        <v>145.0</v>
      </c>
      <c r="L7" s="67" t="str">
        <f>B5</f>
        <v>LeonC</v>
      </c>
      <c r="M7" s="62">
        <v>186.0</v>
      </c>
      <c r="N7" s="67" t="str">
        <f t="shared" ref="N7:N8" si="3">B11</f>
        <v>frotes</v>
      </c>
      <c r="O7" s="62">
        <v>98.0</v>
      </c>
    </row>
    <row r="8">
      <c r="A8" s="60"/>
      <c r="B8" s="61" t="s">
        <v>26</v>
      </c>
      <c r="C8" s="85">
        <v>0.0</v>
      </c>
      <c r="D8" s="87" t="str">
        <f t="shared" si="2"/>
        <v>frotes</v>
      </c>
      <c r="E8" s="85">
        <v>156.0</v>
      </c>
      <c r="F8" s="87" t="str">
        <f>B5</f>
        <v>LeonC</v>
      </c>
      <c r="G8" s="85">
        <v>147.0</v>
      </c>
      <c r="H8" s="87" t="str">
        <f>B6</f>
        <v>pajada</v>
      </c>
      <c r="I8" s="85">
        <v>71.0</v>
      </c>
      <c r="J8" s="87" t="str">
        <f>B12</f>
        <v>qhung49</v>
      </c>
      <c r="K8" s="85">
        <v>155.0</v>
      </c>
      <c r="L8" s="87" t="str">
        <f>B12</f>
        <v>qhung49</v>
      </c>
      <c r="M8" s="85">
        <v>144.0</v>
      </c>
      <c r="N8" s="87" t="str">
        <f t="shared" si="3"/>
        <v>qhung49</v>
      </c>
      <c r="O8" s="85">
        <v>135.0</v>
      </c>
    </row>
    <row r="9">
      <c r="A9" s="60"/>
      <c r="B9" s="55" t="s">
        <v>158</v>
      </c>
      <c r="C9" s="37"/>
      <c r="D9" s="55" t="s">
        <v>159</v>
      </c>
      <c r="E9" s="37"/>
      <c r="F9" s="55" t="s">
        <v>161</v>
      </c>
      <c r="G9" s="37"/>
      <c r="H9" s="55" t="s">
        <v>162</v>
      </c>
      <c r="I9" s="37"/>
      <c r="J9" s="55" t="s">
        <v>163</v>
      </c>
      <c r="K9" s="37"/>
      <c r="L9" s="55" t="s">
        <v>165</v>
      </c>
      <c r="M9" s="37"/>
      <c r="N9" s="55" t="s">
        <v>166</v>
      </c>
      <c r="O9" s="37"/>
    </row>
    <row r="10">
      <c r="A10" s="60"/>
      <c r="B10" s="61" t="s">
        <v>18</v>
      </c>
      <c r="C10" s="62">
        <v>126.0</v>
      </c>
      <c r="D10" s="67" t="str">
        <f t="shared" ref="D10:D11" si="4">B6</f>
        <v>pajada</v>
      </c>
      <c r="E10" s="62">
        <v>146.0</v>
      </c>
      <c r="F10" s="67" t="str">
        <f t="shared" ref="F10:F11" si="5">B7</f>
        <v>hihihiji</v>
      </c>
      <c r="G10" s="62">
        <v>110.0</v>
      </c>
      <c r="H10" s="67" t="str">
        <f>B12</f>
        <v>qhung49</v>
      </c>
      <c r="I10" s="62">
        <v>139.0</v>
      </c>
      <c r="J10" s="67" t="str">
        <f>B11</f>
        <v>frotes</v>
      </c>
      <c r="K10" s="62">
        <v>0.0</v>
      </c>
      <c r="L10" s="67" t="str">
        <f>B8</f>
        <v>takusto_ii</v>
      </c>
      <c r="M10" s="62">
        <v>63.0</v>
      </c>
      <c r="N10" s="67" t="str">
        <f t="shared" ref="N10:N11" si="6">B5</f>
        <v>LeonC</v>
      </c>
      <c r="O10" s="62">
        <v>132.0</v>
      </c>
    </row>
    <row r="11">
      <c r="A11" s="60"/>
      <c r="B11" s="92" t="s">
        <v>70</v>
      </c>
      <c r="C11" s="62">
        <v>168.0</v>
      </c>
      <c r="D11" s="67" t="str">
        <f t="shared" si="4"/>
        <v>hihihiji</v>
      </c>
      <c r="E11" s="62">
        <v>134.0</v>
      </c>
      <c r="F11" s="67" t="str">
        <f t="shared" si="5"/>
        <v>takusto_ii</v>
      </c>
      <c r="G11" s="62">
        <v>141.0</v>
      </c>
      <c r="H11" s="67" t="str">
        <f>B8</f>
        <v>takusto_ii</v>
      </c>
      <c r="I11" s="62">
        <v>134.0</v>
      </c>
      <c r="J11" s="67" t="str">
        <f>B7</f>
        <v>hihihiji</v>
      </c>
      <c r="K11" s="62">
        <v>114.0</v>
      </c>
      <c r="L11" s="67" t="str">
        <f>B6</f>
        <v>pajada</v>
      </c>
      <c r="M11" s="62">
        <v>81.0</v>
      </c>
      <c r="N11" s="67" t="str">
        <f t="shared" si="6"/>
        <v>pajada</v>
      </c>
      <c r="O11" s="62">
        <v>123.0</v>
      </c>
    </row>
    <row r="12">
      <c r="A12" s="60"/>
      <c r="B12" s="96" t="s">
        <v>20</v>
      </c>
      <c r="C12" s="85">
        <v>104.0</v>
      </c>
      <c r="D12" s="87" t="str">
        <f>B12</f>
        <v>qhung49</v>
      </c>
      <c r="E12" s="85">
        <v>161.0</v>
      </c>
      <c r="F12" s="87" t="str">
        <f>B10</f>
        <v>AaronGreen</v>
      </c>
      <c r="G12" s="85">
        <v>176.0</v>
      </c>
      <c r="H12" s="87" t="str">
        <f>B5</f>
        <v>LeonC</v>
      </c>
      <c r="I12" s="85">
        <v>188.0</v>
      </c>
      <c r="J12" s="87" t="str">
        <f>B5</f>
        <v>LeonC</v>
      </c>
      <c r="K12" s="85">
        <v>130.0</v>
      </c>
      <c r="L12" s="87" t="str">
        <f>B11</f>
        <v>frotes</v>
      </c>
      <c r="M12" s="85">
        <v>46.0</v>
      </c>
      <c r="N12" s="87" t="str">
        <f>B10</f>
        <v>AaronGreen</v>
      </c>
      <c r="O12" s="85">
        <v>101.0</v>
      </c>
    </row>
    <row r="13">
      <c r="A13" s="60"/>
    </row>
    <row r="14">
      <c r="A14" s="60"/>
      <c r="B14" s="35" t="s">
        <v>167</v>
      </c>
      <c r="C14" s="36"/>
      <c r="D14" s="36"/>
      <c r="E14" s="36"/>
      <c r="F14" s="36"/>
      <c r="G14" s="36"/>
      <c r="H14" s="36"/>
      <c r="I14" s="36"/>
      <c r="J14" s="36"/>
      <c r="K14" s="36"/>
      <c r="L14" s="36"/>
      <c r="M14" s="36"/>
      <c r="N14" s="36"/>
      <c r="O14" s="37"/>
    </row>
    <row r="15">
      <c r="B15" s="39">
        <f>B3</f>
        <v>43569</v>
      </c>
      <c r="C15" s="37"/>
      <c r="D15" s="39">
        <f>B15+7</f>
        <v>43576</v>
      </c>
      <c r="E15" s="37"/>
      <c r="F15" s="39">
        <f>D15+7</f>
        <v>43583</v>
      </c>
      <c r="G15" s="37"/>
      <c r="H15" s="39">
        <f>F15+7</f>
        <v>43590</v>
      </c>
      <c r="I15" s="37"/>
      <c r="J15" s="39">
        <f>H15+7</f>
        <v>43597</v>
      </c>
      <c r="K15" s="37"/>
      <c r="L15" s="39">
        <f>J15+7</f>
        <v>43604</v>
      </c>
      <c r="M15" s="37"/>
      <c r="N15" s="39">
        <f>L15+7</f>
        <v>43611</v>
      </c>
      <c r="O15" s="37"/>
    </row>
    <row r="16">
      <c r="A16" s="50"/>
      <c r="B16" s="55" t="s">
        <v>105</v>
      </c>
      <c r="C16" s="37"/>
      <c r="D16" s="55" t="s">
        <v>108</v>
      </c>
      <c r="E16" s="37"/>
      <c r="F16" s="55" t="s">
        <v>113</v>
      </c>
      <c r="G16" s="37"/>
      <c r="H16" s="55" t="s">
        <v>114</v>
      </c>
      <c r="I16" s="37"/>
      <c r="J16" s="55" t="s">
        <v>116</v>
      </c>
      <c r="K16" s="37"/>
      <c r="L16" s="55" t="s">
        <v>119</v>
      </c>
      <c r="M16" s="37"/>
      <c r="N16" s="55" t="s">
        <v>121</v>
      </c>
      <c r="O16" s="37"/>
    </row>
    <row r="17">
      <c r="A17" s="60"/>
      <c r="B17" s="61" t="s">
        <v>100</v>
      </c>
      <c r="C17" s="62">
        <v>138.0</v>
      </c>
      <c r="D17" s="67" t="str">
        <f>B20</f>
        <v>invalidName</v>
      </c>
      <c r="E17" s="62">
        <v>216.0</v>
      </c>
      <c r="F17" s="67" t="str">
        <f>B24</f>
        <v>jamiu5</v>
      </c>
      <c r="G17" s="62">
        <v>221.0</v>
      </c>
      <c r="H17" s="67" t="str">
        <f>B23</f>
        <v>a440</v>
      </c>
      <c r="I17" s="62">
        <v>195.0</v>
      </c>
      <c r="J17" s="67" t="str">
        <f>B18</f>
        <v>DrRerNate</v>
      </c>
      <c r="K17" s="62">
        <v>297.0</v>
      </c>
      <c r="L17" s="67" t="str">
        <f>B22</f>
        <v>JimmyLin</v>
      </c>
      <c r="M17" s="62">
        <v>148.0</v>
      </c>
      <c r="N17" s="67" t="str">
        <f t="shared" ref="N17:N18" si="7">B19</f>
        <v>TryAndStopUs</v>
      </c>
      <c r="O17" s="62">
        <v>102.0</v>
      </c>
    </row>
    <row r="18">
      <c r="A18" s="60"/>
      <c r="B18" s="61" t="s">
        <v>40</v>
      </c>
      <c r="C18" s="62">
        <v>184.0</v>
      </c>
      <c r="D18" s="67" t="str">
        <f>B17</f>
        <v>bcnoexceptions</v>
      </c>
      <c r="E18" s="62">
        <v>154.0</v>
      </c>
      <c r="F18" s="67" t="str">
        <f>B18</f>
        <v>DrRerNate</v>
      </c>
      <c r="G18" s="62">
        <v>206.0</v>
      </c>
      <c r="H18" s="67" t="str">
        <f>B19</f>
        <v>TryAndStopUs</v>
      </c>
      <c r="I18" s="62">
        <v>205.0</v>
      </c>
      <c r="J18" s="67" t="str">
        <f>B20</f>
        <v>invalidName</v>
      </c>
      <c r="K18" s="62">
        <v>275.0</v>
      </c>
      <c r="L18" s="67" t="str">
        <f>B19</f>
        <v>TryAndStopUs</v>
      </c>
      <c r="M18" s="62">
        <v>185.0</v>
      </c>
      <c r="N18" s="67" t="str">
        <f t="shared" si="7"/>
        <v>invalidName</v>
      </c>
      <c r="O18" s="62">
        <v>80.0</v>
      </c>
    </row>
    <row r="19">
      <c r="A19" s="60"/>
      <c r="B19" s="61" t="s">
        <v>28</v>
      </c>
      <c r="C19" s="62">
        <v>189.0</v>
      </c>
      <c r="D19" s="67" t="str">
        <f t="shared" ref="D19:D20" si="8">B22</f>
        <v>JimmyLin</v>
      </c>
      <c r="E19" s="62">
        <v>160.0</v>
      </c>
      <c r="F19" s="67" t="str">
        <f>B23</f>
        <v>a440</v>
      </c>
      <c r="G19" s="62">
        <v>214.0</v>
      </c>
      <c r="H19" s="67" t="str">
        <f>B22</f>
        <v>JimmyLin</v>
      </c>
      <c r="I19" s="62">
        <v>128.0</v>
      </c>
      <c r="J19" s="67" t="str">
        <f>B22</f>
        <v>JimmyLin</v>
      </c>
      <c r="K19" s="62">
        <v>159.0</v>
      </c>
      <c r="L19" s="67" t="str">
        <f>B17</f>
        <v>bcnoexceptions</v>
      </c>
      <c r="M19" s="62">
        <v>127.0</v>
      </c>
      <c r="N19" s="67" t="str">
        <f t="shared" ref="N19:N20" si="9">B23</f>
        <v>a440</v>
      </c>
      <c r="O19" s="62">
        <v>107.0</v>
      </c>
    </row>
    <row r="20">
      <c r="A20" s="60"/>
      <c r="B20" s="61" t="s">
        <v>45</v>
      </c>
      <c r="C20" s="85">
        <v>73.0</v>
      </c>
      <c r="D20" s="87" t="str">
        <f t="shared" si="8"/>
        <v>a440</v>
      </c>
      <c r="E20" s="85">
        <v>165.0</v>
      </c>
      <c r="F20" s="87" t="str">
        <f>B17</f>
        <v>bcnoexceptions</v>
      </c>
      <c r="G20" s="85">
        <v>194.0</v>
      </c>
      <c r="H20" s="87" t="str">
        <f>B18</f>
        <v>DrRerNate</v>
      </c>
      <c r="I20" s="85">
        <v>143.0</v>
      </c>
      <c r="J20" s="87" t="str">
        <f>B24</f>
        <v>jamiu5</v>
      </c>
      <c r="K20" s="85">
        <v>157.0</v>
      </c>
      <c r="L20" s="87" t="str">
        <f>B24</f>
        <v>jamiu5</v>
      </c>
      <c r="M20" s="85">
        <v>155.0</v>
      </c>
      <c r="N20" s="87" t="str">
        <f t="shared" si="9"/>
        <v>jamiu5</v>
      </c>
      <c r="O20" s="85">
        <v>0.0</v>
      </c>
    </row>
    <row r="21">
      <c r="A21" s="60"/>
      <c r="B21" s="55" t="s">
        <v>158</v>
      </c>
      <c r="C21" s="37"/>
      <c r="D21" s="55" t="s">
        <v>159</v>
      </c>
      <c r="E21" s="37"/>
      <c r="F21" s="55" t="s">
        <v>161</v>
      </c>
      <c r="G21" s="37"/>
      <c r="H21" s="55" t="s">
        <v>162</v>
      </c>
      <c r="I21" s="37"/>
      <c r="J21" s="55" t="s">
        <v>163</v>
      </c>
      <c r="K21" s="37"/>
      <c r="L21" s="55" t="s">
        <v>165</v>
      </c>
      <c r="M21" s="37"/>
      <c r="N21" s="55" t="s">
        <v>166</v>
      </c>
      <c r="O21" s="37"/>
    </row>
    <row r="22">
      <c r="A22" s="60"/>
      <c r="B22" s="61" t="s">
        <v>102</v>
      </c>
      <c r="C22" s="105">
        <v>69.0</v>
      </c>
      <c r="D22" s="67" t="str">
        <f t="shared" ref="D22:D23" si="10">B18</f>
        <v>DrRerNate</v>
      </c>
      <c r="E22" s="62">
        <v>118.0</v>
      </c>
      <c r="F22" s="67" t="str">
        <f t="shared" ref="F22:F23" si="11">B19</f>
        <v>TryAndStopUs</v>
      </c>
      <c r="G22" s="62">
        <v>151.0</v>
      </c>
      <c r="H22" s="67" t="str">
        <f>B24</f>
        <v>jamiu5</v>
      </c>
      <c r="I22" s="62">
        <v>126.0</v>
      </c>
      <c r="J22" s="67" t="str">
        <f>B23</f>
        <v>a440</v>
      </c>
      <c r="K22" s="62">
        <v>165.0</v>
      </c>
      <c r="L22" s="67" t="str">
        <f>B20</f>
        <v>invalidName</v>
      </c>
      <c r="M22" s="62">
        <v>62.0</v>
      </c>
      <c r="N22" s="67" t="str">
        <f t="shared" ref="N22:N23" si="12">B17</f>
        <v>bcnoexceptions</v>
      </c>
      <c r="O22" s="62">
        <v>166.0</v>
      </c>
    </row>
    <row r="23">
      <c r="A23" s="60"/>
      <c r="B23" s="61" t="s">
        <v>37</v>
      </c>
      <c r="C23" s="62">
        <v>126.0</v>
      </c>
      <c r="D23" s="67" t="str">
        <f t="shared" si="10"/>
        <v>TryAndStopUs</v>
      </c>
      <c r="E23" s="62">
        <v>148.0</v>
      </c>
      <c r="F23" s="67" t="str">
        <f t="shared" si="11"/>
        <v>invalidName</v>
      </c>
      <c r="G23" s="62">
        <v>146.0</v>
      </c>
      <c r="H23" s="67" t="str">
        <f>B20</f>
        <v>invalidName</v>
      </c>
      <c r="I23" s="62">
        <v>129.0</v>
      </c>
      <c r="J23" s="67" t="str">
        <f>B19</f>
        <v>TryAndStopUs</v>
      </c>
      <c r="K23" s="62">
        <v>135.0</v>
      </c>
      <c r="L23" s="67" t="str">
        <f>B18</f>
        <v>DrRerNate</v>
      </c>
      <c r="M23" s="62">
        <v>108.0</v>
      </c>
      <c r="N23" s="67" t="str">
        <f t="shared" si="12"/>
        <v>DrRerNate</v>
      </c>
      <c r="O23" s="62">
        <v>143.0</v>
      </c>
    </row>
    <row r="24">
      <c r="A24" s="60"/>
      <c r="B24" s="96" t="s">
        <v>47</v>
      </c>
      <c r="C24" s="85">
        <v>146.0</v>
      </c>
      <c r="D24" s="87" t="str">
        <f>B24</f>
        <v>jamiu5</v>
      </c>
      <c r="E24" s="85">
        <v>112.0</v>
      </c>
      <c r="F24" s="87" t="str">
        <f>B22</f>
        <v>JimmyLin</v>
      </c>
      <c r="G24" s="85">
        <v>108.0</v>
      </c>
      <c r="H24" s="87" t="str">
        <f>B17</f>
        <v>bcnoexceptions</v>
      </c>
      <c r="I24" s="85">
        <v>111.0</v>
      </c>
      <c r="J24" s="87" t="str">
        <f>B17</f>
        <v>bcnoexceptions</v>
      </c>
      <c r="K24" s="85">
        <v>0.0</v>
      </c>
      <c r="L24" s="87" t="str">
        <f>B23</f>
        <v>a440</v>
      </c>
      <c r="M24" s="85">
        <v>95.0</v>
      </c>
      <c r="N24" s="87" t="str">
        <f>B22</f>
        <v>JimmyLin</v>
      </c>
      <c r="O24" s="85">
        <v>0.0</v>
      </c>
    </row>
    <row r="25">
      <c r="A25" s="60"/>
    </row>
    <row r="26">
      <c r="A26" s="110"/>
      <c r="B26" s="35" t="s">
        <v>173</v>
      </c>
      <c r="C26" s="36"/>
      <c r="D26" s="36"/>
      <c r="E26" s="36"/>
      <c r="F26" s="36"/>
      <c r="G26" s="36"/>
      <c r="H26" s="36"/>
      <c r="I26" s="36"/>
      <c r="J26" s="36"/>
      <c r="K26" s="36"/>
      <c r="L26" s="36"/>
      <c r="M26" s="36"/>
      <c r="N26" s="36"/>
      <c r="O26" s="37"/>
    </row>
    <row r="27">
      <c r="A27" s="111"/>
      <c r="B27" s="112">
        <f>B3</f>
        <v>43569</v>
      </c>
      <c r="C27" s="37"/>
      <c r="D27" s="112">
        <f>B27+7</f>
        <v>43576</v>
      </c>
      <c r="E27" s="37"/>
      <c r="F27" s="112">
        <f>D27+7</f>
        <v>43583</v>
      </c>
      <c r="G27" s="37"/>
      <c r="H27" s="112">
        <f>F27+7</f>
        <v>43590</v>
      </c>
      <c r="I27" s="37"/>
      <c r="J27" s="112">
        <f>H27+7</f>
        <v>43597</v>
      </c>
      <c r="K27" s="37"/>
      <c r="L27" s="112">
        <f>J27+7</f>
        <v>43604</v>
      </c>
      <c r="M27" s="37"/>
      <c r="N27" s="112">
        <f>L27+7</f>
        <v>43611</v>
      </c>
      <c r="O27" s="37"/>
    </row>
    <row r="28">
      <c r="A28" s="113"/>
      <c r="B28" s="114" t="s">
        <v>105</v>
      </c>
      <c r="C28" s="37"/>
      <c r="D28" s="114" t="s">
        <v>108</v>
      </c>
      <c r="E28" s="37"/>
      <c r="F28" s="114" t="s">
        <v>113</v>
      </c>
      <c r="G28" s="37"/>
      <c r="H28" s="114" t="s">
        <v>114</v>
      </c>
      <c r="I28" s="37"/>
      <c r="J28" s="114" t="s">
        <v>116</v>
      </c>
      <c r="K28" s="37"/>
      <c r="L28" s="114" t="s">
        <v>119</v>
      </c>
      <c r="M28" s="37"/>
      <c r="N28" s="114" t="s">
        <v>121</v>
      </c>
      <c r="O28" s="37"/>
    </row>
    <row r="29">
      <c r="A29" s="111"/>
      <c r="B29" s="61" t="s">
        <v>41</v>
      </c>
      <c r="C29" s="115">
        <v>155.0</v>
      </c>
      <c r="D29" s="116" t="str">
        <f>B32</f>
        <v>PhiTrigger</v>
      </c>
      <c r="E29" s="117">
        <v>234.0</v>
      </c>
      <c r="F29" s="118" t="str">
        <f>B36</f>
        <v>ChipsAhoya</v>
      </c>
      <c r="G29" s="117">
        <v>168.0</v>
      </c>
      <c r="H29" s="118" t="str">
        <f>B35</f>
        <v>GregP</v>
      </c>
      <c r="I29" s="117">
        <v>158.0</v>
      </c>
      <c r="J29" s="118" t="str">
        <f>B30</f>
        <v>sbauer9</v>
      </c>
      <c r="K29" s="117">
        <v>166.0</v>
      </c>
      <c r="L29" s="118" t="str">
        <f>B34</f>
        <v>GregoryD</v>
      </c>
      <c r="M29" s="117">
        <v>92.0</v>
      </c>
      <c r="N29" s="118" t="str">
        <f t="shared" ref="N29:N30" si="13">B31</f>
        <v>Arccos</v>
      </c>
      <c r="O29" s="117">
        <v>164.0</v>
      </c>
    </row>
    <row r="30">
      <c r="A30" s="111"/>
      <c r="B30" s="92" t="s">
        <v>38</v>
      </c>
      <c r="C30" s="115">
        <v>163.0</v>
      </c>
      <c r="D30" s="121" t="str">
        <f>B29</f>
        <v>BlixLT</v>
      </c>
      <c r="E30" s="123">
        <v>199.0</v>
      </c>
      <c r="F30" s="125" t="str">
        <f>B30</f>
        <v>sbauer9</v>
      </c>
      <c r="G30" s="123">
        <v>99.0</v>
      </c>
      <c r="H30" s="125" t="str">
        <f>B31</f>
        <v>Arccos</v>
      </c>
      <c r="I30" s="123">
        <v>149.0</v>
      </c>
      <c r="J30" s="125" t="str">
        <f>B32</f>
        <v>PhiTrigger</v>
      </c>
      <c r="K30" s="123">
        <v>241.0</v>
      </c>
      <c r="L30" s="125" t="str">
        <f>B31</f>
        <v>Arccos</v>
      </c>
      <c r="M30" s="123">
        <v>154.0</v>
      </c>
      <c r="N30" s="125" t="str">
        <f t="shared" si="13"/>
        <v>PhiTrigger</v>
      </c>
      <c r="O30" s="123">
        <v>185.0</v>
      </c>
    </row>
    <row r="31">
      <c r="A31" s="111"/>
      <c r="B31" s="61" t="s">
        <v>98</v>
      </c>
      <c r="C31" s="115">
        <v>138.0</v>
      </c>
      <c r="D31" s="121" t="str">
        <f t="shared" ref="D31:D32" si="14">B34</f>
        <v>GregoryD</v>
      </c>
      <c r="E31" s="123">
        <v>124.0</v>
      </c>
      <c r="F31" s="125" t="str">
        <f>B35</f>
        <v>GregP</v>
      </c>
      <c r="G31" s="123">
        <v>110.0</v>
      </c>
      <c r="H31" s="125" t="str">
        <f>B34</f>
        <v>GregoryD</v>
      </c>
      <c r="I31" s="123">
        <v>133.0</v>
      </c>
      <c r="J31" s="125" t="str">
        <f>B34</f>
        <v>GregoryD</v>
      </c>
      <c r="K31" s="123">
        <v>215.0</v>
      </c>
      <c r="L31" s="125" t="str">
        <f>B29</f>
        <v>BlixLT</v>
      </c>
      <c r="M31" s="123">
        <v>162.0</v>
      </c>
      <c r="N31" s="125" t="str">
        <f t="shared" ref="N31:N32" si="15">B35</f>
        <v>GregP</v>
      </c>
      <c r="O31" s="123">
        <v>189.0</v>
      </c>
    </row>
    <row r="32">
      <c r="A32" s="111"/>
      <c r="B32" s="61" t="s">
        <v>33</v>
      </c>
      <c r="C32" s="128">
        <v>212.0</v>
      </c>
      <c r="D32" s="129" t="str">
        <f t="shared" si="14"/>
        <v>GregP</v>
      </c>
      <c r="E32" s="131">
        <v>168.0</v>
      </c>
      <c r="F32" s="132" t="str">
        <f>B29</f>
        <v>BlixLT</v>
      </c>
      <c r="G32" s="131">
        <v>157.0</v>
      </c>
      <c r="H32" s="132" t="str">
        <f>B30</f>
        <v>sbauer9</v>
      </c>
      <c r="I32" s="131">
        <v>163.0</v>
      </c>
      <c r="J32" s="132" t="str">
        <f>B36</f>
        <v>ChipsAhoya</v>
      </c>
      <c r="K32" s="131">
        <v>223.0</v>
      </c>
      <c r="L32" s="132" t="str">
        <f>B36</f>
        <v>ChipsAhoya</v>
      </c>
      <c r="M32" s="131">
        <v>189.0</v>
      </c>
      <c r="N32" s="132" t="str">
        <f t="shared" si="15"/>
        <v>ChipsAhoya</v>
      </c>
      <c r="O32" s="131">
        <v>227.0</v>
      </c>
    </row>
    <row r="33">
      <c r="A33" s="111"/>
      <c r="B33" s="114" t="s">
        <v>158</v>
      </c>
      <c r="C33" s="37"/>
      <c r="D33" s="134" t="s">
        <v>159</v>
      </c>
      <c r="E33" s="135"/>
      <c r="F33" s="136" t="s">
        <v>161</v>
      </c>
      <c r="G33" s="135"/>
      <c r="H33" s="136" t="s">
        <v>162</v>
      </c>
      <c r="I33" s="135"/>
      <c r="J33" s="136" t="s">
        <v>163</v>
      </c>
      <c r="K33" s="135"/>
      <c r="L33" s="136" t="s">
        <v>165</v>
      </c>
      <c r="M33" s="135"/>
      <c r="N33" s="136" t="s">
        <v>166</v>
      </c>
      <c r="O33" s="135"/>
    </row>
    <row r="34">
      <c r="A34" s="111"/>
      <c r="B34" s="61" t="s">
        <v>103</v>
      </c>
      <c r="C34" s="137">
        <v>114.0</v>
      </c>
      <c r="D34" s="121" t="str">
        <f t="shared" ref="D34:D35" si="16">B30</f>
        <v>sbauer9</v>
      </c>
      <c r="E34" s="123">
        <v>184.0</v>
      </c>
      <c r="F34" s="125" t="str">
        <f t="shared" ref="F34:F35" si="17">B31</f>
        <v>Arccos</v>
      </c>
      <c r="G34" s="123">
        <v>224.0</v>
      </c>
      <c r="H34" s="125" t="str">
        <f>B36</f>
        <v>ChipsAhoya</v>
      </c>
      <c r="I34" s="123">
        <v>104.0</v>
      </c>
      <c r="J34" s="125" t="str">
        <f>B35</f>
        <v>GregP</v>
      </c>
      <c r="K34" s="123">
        <v>135.0</v>
      </c>
      <c r="L34" s="125" t="str">
        <f>B32</f>
        <v>PhiTrigger</v>
      </c>
      <c r="M34" s="123">
        <v>176.0</v>
      </c>
      <c r="N34" s="125" t="str">
        <f t="shared" ref="N34:N35" si="18">B29</f>
        <v>BlixLT</v>
      </c>
      <c r="O34" s="123">
        <v>206.0</v>
      </c>
    </row>
    <row r="35">
      <c r="A35" s="111"/>
      <c r="B35" s="61" t="s">
        <v>49</v>
      </c>
      <c r="C35" s="115">
        <v>117.0</v>
      </c>
      <c r="D35" s="121" t="str">
        <f t="shared" si="16"/>
        <v>Arccos</v>
      </c>
      <c r="E35" s="123">
        <v>158.0</v>
      </c>
      <c r="F35" s="125" t="str">
        <f t="shared" si="17"/>
        <v>PhiTrigger</v>
      </c>
      <c r="G35" s="123">
        <v>181.0</v>
      </c>
      <c r="H35" s="125" t="str">
        <f>B32</f>
        <v>PhiTrigger</v>
      </c>
      <c r="I35" s="123">
        <v>120.0</v>
      </c>
      <c r="J35" s="125" t="str">
        <f>B31</f>
        <v>Arccos</v>
      </c>
      <c r="K35" s="123">
        <v>138.0</v>
      </c>
      <c r="L35" s="125" t="str">
        <f>B30</f>
        <v>sbauer9</v>
      </c>
      <c r="M35" s="123">
        <v>196.0</v>
      </c>
      <c r="N35" s="125" t="str">
        <f t="shared" si="18"/>
        <v>sbauer9</v>
      </c>
      <c r="O35" s="123">
        <v>129.0</v>
      </c>
    </row>
    <row r="36">
      <c r="A36" s="111"/>
      <c r="B36" s="96" t="s">
        <v>31</v>
      </c>
      <c r="C36" s="128">
        <v>131.0</v>
      </c>
      <c r="D36" s="129" t="str">
        <f>B36</f>
        <v>ChipsAhoya</v>
      </c>
      <c r="E36" s="131">
        <v>175.0</v>
      </c>
      <c r="F36" s="132" t="str">
        <f>B34</f>
        <v>GregoryD</v>
      </c>
      <c r="G36" s="131">
        <v>54.0</v>
      </c>
      <c r="H36" s="132" t="str">
        <f>B29</f>
        <v>BlixLT</v>
      </c>
      <c r="I36" s="131">
        <v>97.0</v>
      </c>
      <c r="J36" s="132" t="str">
        <f>B29</f>
        <v>BlixLT</v>
      </c>
      <c r="K36" s="131">
        <v>164.0</v>
      </c>
      <c r="L36" s="132" t="str">
        <f>B35</f>
        <v>GregP</v>
      </c>
      <c r="M36" s="131">
        <v>172.0</v>
      </c>
      <c r="N36" s="132" t="str">
        <f>B34</f>
        <v>GregoryD</v>
      </c>
      <c r="O36" s="131">
        <v>122.0</v>
      </c>
    </row>
    <row r="37">
      <c r="A37" s="60"/>
    </row>
    <row r="38">
      <c r="A38" s="60"/>
      <c r="B38" s="35" t="s">
        <v>174</v>
      </c>
      <c r="C38" s="36"/>
      <c r="D38" s="36"/>
      <c r="E38" s="36"/>
      <c r="F38" s="36"/>
      <c r="G38" s="36"/>
      <c r="H38" s="36"/>
      <c r="I38" s="36"/>
      <c r="J38" s="36"/>
      <c r="K38" s="36"/>
      <c r="L38" s="36"/>
      <c r="M38" s="36"/>
      <c r="N38" s="36"/>
      <c r="O38" s="37"/>
    </row>
    <row r="39">
      <c r="B39" s="140">
        <f>B3</f>
        <v>43569</v>
      </c>
      <c r="C39" s="37"/>
      <c r="D39" s="140">
        <f>B39+7</f>
        <v>43576</v>
      </c>
      <c r="E39" s="37"/>
      <c r="F39" s="140">
        <f>D39+7</f>
        <v>43583</v>
      </c>
      <c r="G39" s="37"/>
      <c r="H39" s="140">
        <f>F39+7</f>
        <v>43590</v>
      </c>
      <c r="I39" s="37"/>
      <c r="J39" s="140">
        <f>H39+7</f>
        <v>43597</v>
      </c>
      <c r="K39" s="37"/>
      <c r="L39" s="140">
        <f>J39+7</f>
        <v>43604</v>
      </c>
      <c r="M39" s="37"/>
      <c r="N39" s="140">
        <f>L39+7</f>
        <v>43611</v>
      </c>
      <c r="O39" s="37"/>
    </row>
    <row r="40">
      <c r="A40" s="50"/>
      <c r="B40" s="55" t="s">
        <v>105</v>
      </c>
      <c r="C40" s="37"/>
      <c r="D40" s="55" t="s">
        <v>108</v>
      </c>
      <c r="E40" s="37"/>
      <c r="F40" s="55" t="s">
        <v>113</v>
      </c>
      <c r="G40" s="37"/>
      <c r="H40" s="55" t="s">
        <v>114</v>
      </c>
      <c r="I40" s="37"/>
      <c r="J40" s="55" t="s">
        <v>116</v>
      </c>
      <c r="K40" s="37"/>
      <c r="L40" s="55" t="s">
        <v>119</v>
      </c>
      <c r="M40" s="37"/>
      <c r="N40" s="55" t="s">
        <v>121</v>
      </c>
      <c r="O40" s="37"/>
    </row>
    <row r="41">
      <c r="A41" s="60"/>
      <c r="B41" s="61" t="s">
        <v>128</v>
      </c>
      <c r="C41" s="62">
        <v>180.0</v>
      </c>
      <c r="D41" s="116" t="str">
        <f>B44</f>
        <v>stanel</v>
      </c>
      <c r="E41" s="117">
        <v>189.0</v>
      </c>
      <c r="F41" s="118" t="str">
        <f>B48</f>
        <v>BillyPilgrim</v>
      </c>
      <c r="G41" s="117">
        <v>129.0</v>
      </c>
      <c r="H41" s="118" t="str">
        <f>B47</f>
        <v>Vienneau</v>
      </c>
      <c r="I41" s="117">
        <v>117.0</v>
      </c>
      <c r="J41" s="118" t="str">
        <f>B42</f>
        <v>Fane</v>
      </c>
      <c r="K41" s="117">
        <v>218.0</v>
      </c>
      <c r="L41" s="118" t="str">
        <f>B46</f>
        <v>Woodenman</v>
      </c>
      <c r="M41" s="117">
        <v>163.0</v>
      </c>
      <c r="N41" s="118" t="str">
        <f t="shared" ref="N41:N42" si="19">B43</f>
        <v>norkle</v>
      </c>
      <c r="O41" s="117">
        <v>26.0</v>
      </c>
    </row>
    <row r="42">
      <c r="A42" s="60"/>
      <c r="B42" s="61" t="s">
        <v>78</v>
      </c>
      <c r="C42" s="62">
        <v>336.0</v>
      </c>
      <c r="D42" s="121" t="str">
        <f>B41</f>
        <v>Irishdomer08</v>
      </c>
      <c r="E42" s="123">
        <v>185.0</v>
      </c>
      <c r="F42" s="125" t="str">
        <f>B42</f>
        <v>Fane</v>
      </c>
      <c r="G42" s="123">
        <v>162.0</v>
      </c>
      <c r="H42" s="125" t="str">
        <f>B43</f>
        <v>norkle</v>
      </c>
      <c r="I42" s="123">
        <v>164.0</v>
      </c>
      <c r="J42" s="125" t="str">
        <f>B44</f>
        <v>stanel</v>
      </c>
      <c r="K42" s="123">
        <v>142.0</v>
      </c>
      <c r="L42" s="125" t="str">
        <f>B43</f>
        <v>norkle</v>
      </c>
      <c r="M42" s="123">
        <v>167.0</v>
      </c>
      <c r="N42" s="125" t="str">
        <f t="shared" si="19"/>
        <v>stanel</v>
      </c>
      <c r="O42" s="123">
        <v>120.0</v>
      </c>
    </row>
    <row r="43">
      <c r="A43" s="60"/>
      <c r="B43" s="61" t="s">
        <v>90</v>
      </c>
      <c r="C43" s="62">
        <v>182.0</v>
      </c>
      <c r="D43" s="121" t="str">
        <f t="shared" ref="D43:D44" si="20">B46</f>
        <v>Woodenman</v>
      </c>
      <c r="E43" s="123">
        <v>202.0</v>
      </c>
      <c r="F43" s="125" t="str">
        <f>B47</f>
        <v>Vienneau</v>
      </c>
      <c r="G43" s="123">
        <v>174.0</v>
      </c>
      <c r="H43" s="125" t="str">
        <f>B46</f>
        <v>Woodenman</v>
      </c>
      <c r="I43" s="123">
        <v>0.0</v>
      </c>
      <c r="J43" s="125" t="str">
        <f>B46</f>
        <v>Woodenman</v>
      </c>
      <c r="K43" s="123">
        <v>145.0</v>
      </c>
      <c r="L43" s="125" t="str">
        <f>B41</f>
        <v>Irishdomer08</v>
      </c>
      <c r="M43" s="123">
        <v>0.0</v>
      </c>
      <c r="N43" s="125" t="str">
        <f t="shared" ref="N43:N44" si="21">B47</f>
        <v>Vienneau</v>
      </c>
      <c r="O43" s="123">
        <v>133.0</v>
      </c>
    </row>
    <row r="44">
      <c r="A44" s="60"/>
      <c r="B44" s="61" t="s">
        <v>126</v>
      </c>
      <c r="C44" s="85">
        <v>183.0</v>
      </c>
      <c r="D44" s="129" t="str">
        <f t="shared" si="20"/>
        <v>Vienneau</v>
      </c>
      <c r="E44" s="131">
        <v>245.0</v>
      </c>
      <c r="F44" s="132" t="str">
        <f>B41</f>
        <v>Irishdomer08</v>
      </c>
      <c r="G44" s="131">
        <v>146.0</v>
      </c>
      <c r="H44" s="132" t="str">
        <f>B42</f>
        <v>Fane</v>
      </c>
      <c r="I44" s="131">
        <v>157.0</v>
      </c>
      <c r="J44" s="132" t="str">
        <f>B48</f>
        <v>BillyPilgrim</v>
      </c>
      <c r="K44" s="131">
        <v>185.0</v>
      </c>
      <c r="L44" s="132" t="str">
        <f>B48</f>
        <v>BillyPilgrim</v>
      </c>
      <c r="M44" s="131">
        <v>192.0</v>
      </c>
      <c r="N44" s="132" t="str">
        <f t="shared" si="21"/>
        <v>BillyPilgrim</v>
      </c>
      <c r="O44" s="131">
        <v>172.0</v>
      </c>
    </row>
    <row r="45">
      <c r="A45" s="60"/>
      <c r="B45" s="55" t="s">
        <v>158</v>
      </c>
      <c r="C45" s="37"/>
      <c r="D45" s="134" t="s">
        <v>159</v>
      </c>
      <c r="E45" s="135"/>
      <c r="F45" s="136" t="s">
        <v>161</v>
      </c>
      <c r="G45" s="135"/>
      <c r="H45" s="136" t="s">
        <v>162</v>
      </c>
      <c r="I45" s="135"/>
      <c r="J45" s="136" t="s">
        <v>163</v>
      </c>
      <c r="K45" s="135"/>
      <c r="L45" s="136" t="s">
        <v>165</v>
      </c>
      <c r="M45" s="135"/>
      <c r="N45" s="136" t="s">
        <v>166</v>
      </c>
      <c r="O45" s="135"/>
    </row>
    <row r="46">
      <c r="A46" s="60"/>
      <c r="B46" s="61" t="s">
        <v>84</v>
      </c>
      <c r="C46" s="105">
        <v>147.0</v>
      </c>
      <c r="D46" s="121" t="str">
        <f t="shared" ref="D46:D47" si="22">B42</f>
        <v>Fane</v>
      </c>
      <c r="E46" s="123">
        <v>196.0</v>
      </c>
      <c r="F46" s="125" t="str">
        <f t="shared" ref="F46:F47" si="23">B43</f>
        <v>norkle</v>
      </c>
      <c r="G46" s="123">
        <v>140.0</v>
      </c>
      <c r="H46" s="125" t="str">
        <f>B48</f>
        <v>BillyPilgrim</v>
      </c>
      <c r="I46" s="123">
        <v>191.0</v>
      </c>
      <c r="J46" s="125" t="str">
        <f>B47</f>
        <v>Vienneau</v>
      </c>
      <c r="K46" s="123">
        <v>154.0</v>
      </c>
      <c r="L46" s="125" t="str">
        <f>B44</f>
        <v>stanel</v>
      </c>
      <c r="M46" s="123">
        <v>164.0</v>
      </c>
      <c r="N46" s="125" t="str">
        <f t="shared" ref="N46:N47" si="24">B41</f>
        <v>Irishdomer08</v>
      </c>
      <c r="O46" s="123">
        <v>176.0</v>
      </c>
    </row>
    <row r="47">
      <c r="A47" s="60"/>
      <c r="B47" s="61" t="s">
        <v>63</v>
      </c>
      <c r="C47" s="62">
        <v>130.0</v>
      </c>
      <c r="D47" s="121" t="str">
        <f t="shared" si="22"/>
        <v>norkle</v>
      </c>
      <c r="E47" s="123">
        <v>127.0</v>
      </c>
      <c r="F47" s="125" t="str">
        <f t="shared" si="23"/>
        <v>stanel</v>
      </c>
      <c r="G47" s="123">
        <v>177.0</v>
      </c>
      <c r="H47" s="125" t="str">
        <f>B44</f>
        <v>stanel</v>
      </c>
      <c r="I47" s="123">
        <v>105.0</v>
      </c>
      <c r="J47" s="125" t="str">
        <f>B43</f>
        <v>norkle</v>
      </c>
      <c r="K47" s="123">
        <v>129.0</v>
      </c>
      <c r="L47" s="125" t="str">
        <f>B42</f>
        <v>Fane</v>
      </c>
      <c r="M47" s="123">
        <v>137.0</v>
      </c>
      <c r="N47" s="125" t="str">
        <f t="shared" si="24"/>
        <v>Fane</v>
      </c>
      <c r="O47" s="123">
        <v>234.0</v>
      </c>
    </row>
    <row r="48">
      <c r="A48" s="60"/>
      <c r="B48" s="96" t="s">
        <v>58</v>
      </c>
      <c r="C48" s="85">
        <v>142.0</v>
      </c>
      <c r="D48" s="129" t="str">
        <f>B48</f>
        <v>BillyPilgrim</v>
      </c>
      <c r="E48" s="131">
        <v>208.0</v>
      </c>
      <c r="F48" s="132" t="str">
        <f>B46</f>
        <v>Woodenman</v>
      </c>
      <c r="G48" s="131">
        <v>183.0</v>
      </c>
      <c r="H48" s="132" t="str">
        <f>B41</f>
        <v>Irishdomer08</v>
      </c>
      <c r="I48" s="131">
        <v>174.0</v>
      </c>
      <c r="J48" s="132" t="str">
        <f>B41</f>
        <v>Irishdomer08</v>
      </c>
      <c r="K48" s="131">
        <v>108.0</v>
      </c>
      <c r="L48" s="132" t="str">
        <f>B47</f>
        <v>Vienneau</v>
      </c>
      <c r="M48" s="131">
        <v>191.0</v>
      </c>
      <c r="N48" s="132" t="str">
        <f>B46</f>
        <v>Woodenman</v>
      </c>
      <c r="O48" s="131">
        <v>147.0</v>
      </c>
    </row>
    <row r="49">
      <c r="A49" s="60"/>
    </row>
    <row r="50">
      <c r="A50" s="60"/>
      <c r="B50" s="35" t="s">
        <v>180</v>
      </c>
      <c r="C50" s="36"/>
      <c r="D50" s="36"/>
      <c r="E50" s="36"/>
      <c r="F50" s="36"/>
      <c r="G50" s="36"/>
      <c r="H50" s="36"/>
      <c r="I50" s="36"/>
      <c r="J50" s="36"/>
      <c r="K50" s="36"/>
      <c r="L50" s="36"/>
      <c r="M50" s="36"/>
      <c r="N50" s="36"/>
      <c r="O50" s="37"/>
    </row>
    <row r="51">
      <c r="B51" s="140">
        <f>B3</f>
        <v>43569</v>
      </c>
      <c r="C51" s="37"/>
      <c r="D51" s="140">
        <f>B51+7</f>
        <v>43576</v>
      </c>
      <c r="E51" s="37"/>
      <c r="F51" s="140">
        <f>D51+7</f>
        <v>43583</v>
      </c>
      <c r="G51" s="37"/>
      <c r="H51" s="140">
        <f>F51+7</f>
        <v>43590</v>
      </c>
      <c r="I51" s="37"/>
      <c r="J51" s="140">
        <f>H51+7</f>
        <v>43597</v>
      </c>
      <c r="K51" s="37"/>
      <c r="L51" s="140">
        <f>J51+7</f>
        <v>43604</v>
      </c>
      <c r="M51" s="37"/>
      <c r="N51" s="140">
        <f>L51+7</f>
        <v>43611</v>
      </c>
      <c r="O51" s="37"/>
    </row>
    <row r="52">
      <c r="A52" s="50"/>
      <c r="B52" s="55" t="s">
        <v>105</v>
      </c>
      <c r="C52" s="37"/>
      <c r="D52" s="55" t="s">
        <v>108</v>
      </c>
      <c r="E52" s="37"/>
      <c r="F52" s="55" t="s">
        <v>113</v>
      </c>
      <c r="G52" s="37"/>
      <c r="H52" s="55" t="s">
        <v>114</v>
      </c>
      <c r="I52" s="37"/>
      <c r="J52" s="55" t="s">
        <v>116</v>
      </c>
      <c r="K52" s="37"/>
      <c r="L52" s="55" t="s">
        <v>119</v>
      </c>
      <c r="M52" s="37"/>
      <c r="N52" s="55" t="s">
        <v>121</v>
      </c>
      <c r="O52" s="37"/>
    </row>
    <row r="53">
      <c r="A53" s="60"/>
      <c r="B53" s="61" t="s">
        <v>133</v>
      </c>
      <c r="C53" s="62">
        <v>117.0</v>
      </c>
      <c r="D53" s="116" t="str">
        <f>B56</f>
        <v>eNroamer</v>
      </c>
      <c r="E53" s="117">
        <v>94.0</v>
      </c>
      <c r="F53" s="118" t="str">
        <f>B60</f>
        <v>megathong</v>
      </c>
      <c r="G53" s="117">
        <v>165.0</v>
      </c>
      <c r="H53" s="118" t="str">
        <f>B59</f>
        <v>petrau77</v>
      </c>
      <c r="I53" s="117">
        <v>171.0</v>
      </c>
      <c r="J53" s="118" t="str">
        <f>B54</f>
        <v>Octavian</v>
      </c>
      <c r="K53" s="117">
        <v>284.0</v>
      </c>
      <c r="L53" s="118" t="str">
        <f>B58</f>
        <v>RolldUpTrips</v>
      </c>
      <c r="M53" s="117">
        <v>140.0</v>
      </c>
      <c r="N53" s="118" t="str">
        <f t="shared" ref="N53:N54" si="25">B55</f>
        <v>JCleek</v>
      </c>
      <c r="O53" s="117">
        <v>103.0</v>
      </c>
    </row>
    <row r="54">
      <c r="A54" s="60"/>
      <c r="B54" s="61" t="s">
        <v>60</v>
      </c>
      <c r="C54" s="62">
        <v>194.0</v>
      </c>
      <c r="D54" s="121" t="str">
        <f>B53</f>
        <v>funkenschlag</v>
      </c>
      <c r="E54" s="123">
        <v>31.0</v>
      </c>
      <c r="F54" s="125" t="str">
        <f>B54</f>
        <v>Octavian</v>
      </c>
      <c r="G54" s="123">
        <v>246.0</v>
      </c>
      <c r="H54" s="125" t="str">
        <f>B55</f>
        <v>JCleek</v>
      </c>
      <c r="I54" s="123">
        <v>242.0</v>
      </c>
      <c r="J54" s="125" t="str">
        <f>B56</f>
        <v>eNroamer</v>
      </c>
      <c r="K54" s="123">
        <v>234.0</v>
      </c>
      <c r="L54" s="125" t="str">
        <f>B55</f>
        <v>JCleek</v>
      </c>
      <c r="M54" s="123">
        <v>250.0</v>
      </c>
      <c r="N54" s="125" t="str">
        <f t="shared" si="25"/>
        <v>eNroamer</v>
      </c>
      <c r="O54" s="123">
        <v>148.0</v>
      </c>
    </row>
    <row r="55">
      <c r="A55" s="60"/>
      <c r="B55" s="61" t="s">
        <v>75</v>
      </c>
      <c r="C55" s="62">
        <v>153.0</v>
      </c>
      <c r="D55" s="121" t="str">
        <f t="shared" ref="D55:D56" si="26">B58</f>
        <v>RolldUpTrips</v>
      </c>
      <c r="E55" s="123">
        <v>139.0</v>
      </c>
      <c r="F55" s="125" t="str">
        <f>B59</f>
        <v>petrau77</v>
      </c>
      <c r="G55" s="123">
        <v>199.0</v>
      </c>
      <c r="H55" s="125" t="str">
        <f>B58</f>
        <v>RolldUpTrips</v>
      </c>
      <c r="I55" s="123">
        <v>121.0</v>
      </c>
      <c r="J55" s="125" t="str">
        <f>B58</f>
        <v>RolldUpTrips</v>
      </c>
      <c r="K55" s="123">
        <v>169.0</v>
      </c>
      <c r="L55" s="125" t="str">
        <f>B53</f>
        <v>funkenschlag</v>
      </c>
      <c r="M55" s="123">
        <v>133.0</v>
      </c>
      <c r="N55" s="125" t="str">
        <f t="shared" ref="N55:N56" si="27">B59</f>
        <v>petrau77</v>
      </c>
      <c r="O55" s="123">
        <v>123.0</v>
      </c>
    </row>
    <row r="56">
      <c r="A56" s="60"/>
      <c r="B56" s="61" t="s">
        <v>83</v>
      </c>
      <c r="C56" s="85">
        <v>176.0</v>
      </c>
      <c r="D56" s="129" t="str">
        <f t="shared" si="26"/>
        <v>petrau77</v>
      </c>
      <c r="E56" s="131">
        <v>132.0</v>
      </c>
      <c r="F56" s="132" t="str">
        <f>B53</f>
        <v>funkenschlag</v>
      </c>
      <c r="G56" s="131">
        <v>123.0</v>
      </c>
      <c r="H56" s="132" t="str">
        <f>B54</f>
        <v>Octavian</v>
      </c>
      <c r="I56" s="131">
        <v>167.0</v>
      </c>
      <c r="J56" s="132" t="str">
        <f>B60</f>
        <v>megathong</v>
      </c>
      <c r="K56" s="131">
        <v>140.0</v>
      </c>
      <c r="L56" s="132" t="str">
        <f>B60</f>
        <v>megathong</v>
      </c>
      <c r="M56" s="131">
        <v>0.0</v>
      </c>
      <c r="N56" s="132" t="str">
        <f t="shared" si="27"/>
        <v>megathong</v>
      </c>
      <c r="O56" s="131">
        <v>0.0</v>
      </c>
    </row>
    <row r="57">
      <c r="A57" s="60"/>
      <c r="B57" s="55" t="s">
        <v>158</v>
      </c>
      <c r="C57" s="37"/>
      <c r="D57" s="134" t="s">
        <v>159</v>
      </c>
      <c r="E57" s="135"/>
      <c r="F57" s="136" t="s">
        <v>161</v>
      </c>
      <c r="G57" s="135"/>
      <c r="H57" s="136" t="s">
        <v>162</v>
      </c>
      <c r="I57" s="135"/>
      <c r="J57" s="136" t="s">
        <v>163</v>
      </c>
      <c r="K57" s="135"/>
      <c r="L57" s="136" t="s">
        <v>165</v>
      </c>
      <c r="M57" s="135"/>
      <c r="N57" s="136" t="s">
        <v>166</v>
      </c>
      <c r="O57" s="135"/>
    </row>
    <row r="58">
      <c r="A58" s="60"/>
      <c r="B58" s="61" t="s">
        <v>87</v>
      </c>
      <c r="C58" s="105">
        <v>142.0</v>
      </c>
      <c r="D58" s="121" t="str">
        <f t="shared" ref="D58:D59" si="28">B54</f>
        <v>Octavian</v>
      </c>
      <c r="E58" s="123">
        <v>0.0</v>
      </c>
      <c r="F58" s="125" t="str">
        <f t="shared" ref="F58:F59" si="29">B55</f>
        <v>JCleek</v>
      </c>
      <c r="G58" s="123">
        <v>167.0</v>
      </c>
      <c r="H58" s="125" t="str">
        <f>B60</f>
        <v>megathong</v>
      </c>
      <c r="I58" s="123">
        <v>163.0</v>
      </c>
      <c r="J58" s="125" t="str">
        <f>B59</f>
        <v>petrau77</v>
      </c>
      <c r="K58" s="123">
        <v>130.0</v>
      </c>
      <c r="L58" s="125" t="str">
        <f>B56</f>
        <v>eNroamer</v>
      </c>
      <c r="M58" s="123">
        <v>96.0</v>
      </c>
      <c r="N58" s="125" t="str">
        <f t="shared" ref="N58:N59" si="30">B53</f>
        <v>funkenschlag</v>
      </c>
      <c r="O58" s="123">
        <v>0.0</v>
      </c>
    </row>
    <row r="59">
      <c r="A59" s="60"/>
      <c r="B59" s="61" t="s">
        <v>79</v>
      </c>
      <c r="C59" s="62">
        <v>113.0</v>
      </c>
      <c r="D59" s="121" t="str">
        <f t="shared" si="28"/>
        <v>JCleek</v>
      </c>
      <c r="E59" s="123">
        <v>139.0</v>
      </c>
      <c r="F59" s="125" t="str">
        <f t="shared" si="29"/>
        <v>eNroamer</v>
      </c>
      <c r="G59" s="123">
        <v>174.0</v>
      </c>
      <c r="H59" s="125" t="str">
        <f>B56</f>
        <v>eNroamer</v>
      </c>
      <c r="I59" s="123">
        <v>139.0</v>
      </c>
      <c r="J59" s="125" t="str">
        <f>B55</f>
        <v>JCleek</v>
      </c>
      <c r="K59" s="123">
        <v>122.0</v>
      </c>
      <c r="L59" s="125" t="str">
        <f>B54</f>
        <v>Octavian</v>
      </c>
      <c r="M59" s="123">
        <v>132.0</v>
      </c>
      <c r="N59" s="125" t="str">
        <f t="shared" si="30"/>
        <v>Octavian</v>
      </c>
      <c r="O59" s="123">
        <v>172.0</v>
      </c>
    </row>
    <row r="60">
      <c r="A60" s="60"/>
      <c r="B60" s="96" t="s">
        <v>124</v>
      </c>
      <c r="C60" s="85">
        <v>122.0</v>
      </c>
      <c r="D60" s="129" t="str">
        <f>B60</f>
        <v>megathong</v>
      </c>
      <c r="E60" s="131">
        <v>134.0</v>
      </c>
      <c r="F60" s="132" t="str">
        <f>B58</f>
        <v>RolldUpTrips</v>
      </c>
      <c r="G60" s="131">
        <v>156.0</v>
      </c>
      <c r="H60" s="132" t="str">
        <f>B53</f>
        <v>funkenschlag</v>
      </c>
      <c r="I60" s="131">
        <v>139.0</v>
      </c>
      <c r="J60" s="132" t="str">
        <f>B53</f>
        <v>funkenschlag</v>
      </c>
      <c r="K60" s="131">
        <v>63.0</v>
      </c>
      <c r="L60" s="132" t="str">
        <f>B59</f>
        <v>petrau77</v>
      </c>
      <c r="M60" s="131">
        <v>141.0</v>
      </c>
      <c r="N60" s="163" t="str">
        <f>B58</f>
        <v>RolldUpTrips</v>
      </c>
      <c r="O60" s="131">
        <v>0.0</v>
      </c>
    </row>
    <row r="61">
      <c r="A61" s="60"/>
    </row>
    <row r="62">
      <c r="A62" s="60"/>
      <c r="B62" s="35" t="s">
        <v>181</v>
      </c>
      <c r="C62" s="36"/>
      <c r="D62" s="36"/>
      <c r="E62" s="36"/>
      <c r="F62" s="36"/>
      <c r="G62" s="36"/>
      <c r="H62" s="36"/>
      <c r="I62" s="36"/>
      <c r="J62" s="36"/>
      <c r="K62" s="36"/>
      <c r="L62" s="36"/>
      <c r="M62" s="36"/>
      <c r="N62" s="36"/>
      <c r="O62" s="37"/>
    </row>
    <row r="63">
      <c r="A63" s="111"/>
      <c r="B63" s="112">
        <f>B$3</f>
        <v>43569</v>
      </c>
      <c r="C63" s="37"/>
      <c r="D63" s="112">
        <f>B63+7</f>
        <v>43576</v>
      </c>
      <c r="E63" s="37"/>
      <c r="F63" s="112">
        <f>D63+7</f>
        <v>43583</v>
      </c>
      <c r="G63" s="37"/>
      <c r="H63" s="112">
        <f>F63+7</f>
        <v>43590</v>
      </c>
      <c r="I63" s="37"/>
      <c r="J63" s="112">
        <f>H63+7</f>
        <v>43597</v>
      </c>
      <c r="K63" s="37"/>
      <c r="L63" s="112">
        <f>J63+7</f>
        <v>43604</v>
      </c>
      <c r="M63" s="37"/>
      <c r="N63" s="112">
        <f>L63+7</f>
        <v>43611</v>
      </c>
      <c r="O63" s="37"/>
    </row>
    <row r="64">
      <c r="A64" s="113"/>
      <c r="B64" s="114" t="s">
        <v>105</v>
      </c>
      <c r="C64" s="37"/>
      <c r="D64" s="114" t="s">
        <v>108</v>
      </c>
      <c r="E64" s="37"/>
      <c r="F64" s="114" t="s">
        <v>113</v>
      </c>
      <c r="G64" s="37"/>
      <c r="H64" s="114" t="s">
        <v>114</v>
      </c>
      <c r="I64" s="37"/>
      <c r="J64" s="114" t="s">
        <v>116</v>
      </c>
      <c r="K64" s="37"/>
      <c r="L64" s="114" t="s">
        <v>119</v>
      </c>
      <c r="M64" s="37"/>
      <c r="N64" s="114" t="s">
        <v>121</v>
      </c>
      <c r="O64" s="37"/>
    </row>
    <row r="65">
      <c r="A65" s="111"/>
      <c r="B65" s="61" t="s">
        <v>71</v>
      </c>
      <c r="C65" s="115">
        <v>231.0</v>
      </c>
      <c r="D65" s="116" t="str">
        <f>B68</f>
        <v>albinsix</v>
      </c>
      <c r="E65" s="117">
        <v>143.0</v>
      </c>
      <c r="F65" s="118" t="str">
        <f>B72</f>
        <v>bzburnin</v>
      </c>
      <c r="G65" s="117">
        <v>167.0</v>
      </c>
      <c r="H65" s="118" t="str">
        <f>B71</f>
        <v>Aardwolf44</v>
      </c>
      <c r="I65" s="117">
        <v>124.0</v>
      </c>
      <c r="J65" s="118" t="str">
        <f>B66</f>
        <v>JeroenSchreurs</v>
      </c>
      <c r="K65" s="117">
        <v>149.0</v>
      </c>
      <c r="L65" s="118" t="str">
        <f>B70</f>
        <v>pollitis</v>
      </c>
      <c r="M65" s="117">
        <v>213.0</v>
      </c>
      <c r="N65" s="118" t="str">
        <f t="shared" ref="N65:N66" si="31">B67</f>
        <v>Thaddeus</v>
      </c>
      <c r="O65" s="117">
        <v>194.0</v>
      </c>
    </row>
    <row r="66">
      <c r="A66" s="111"/>
      <c r="B66" s="61" t="s">
        <v>81</v>
      </c>
      <c r="C66" s="115">
        <v>187.0</v>
      </c>
      <c r="D66" s="121" t="str">
        <f>B65</f>
        <v>Wartin</v>
      </c>
      <c r="E66" s="123">
        <v>0.0</v>
      </c>
      <c r="F66" s="125" t="str">
        <f>B66</f>
        <v>JeroenSchreurs</v>
      </c>
      <c r="G66" s="123">
        <v>124.0</v>
      </c>
      <c r="H66" s="125" t="str">
        <f>B67</f>
        <v>Thaddeus</v>
      </c>
      <c r="I66" s="123">
        <v>93.0</v>
      </c>
      <c r="J66" s="125" t="str">
        <f>B68</f>
        <v>albinsix</v>
      </c>
      <c r="K66" s="123">
        <v>91.0</v>
      </c>
      <c r="L66" s="125" t="str">
        <f>B67</f>
        <v>Thaddeus</v>
      </c>
      <c r="M66" s="123">
        <v>169.0</v>
      </c>
      <c r="N66" s="125" t="str">
        <f t="shared" si="31"/>
        <v>albinsix</v>
      </c>
      <c r="O66" s="123">
        <v>214.0</v>
      </c>
    </row>
    <row r="67">
      <c r="A67" s="111"/>
      <c r="B67" s="61" t="s">
        <v>125</v>
      </c>
      <c r="C67" s="115">
        <v>150.0</v>
      </c>
      <c r="D67" s="121" t="str">
        <f t="shared" ref="D67:D68" si="32">B70</f>
        <v>pollitis</v>
      </c>
      <c r="E67" s="123">
        <v>75.0</v>
      </c>
      <c r="F67" s="125" t="str">
        <f>B71</f>
        <v>Aardwolf44</v>
      </c>
      <c r="G67" s="123">
        <v>224.0</v>
      </c>
      <c r="H67" s="125" t="str">
        <f>B70</f>
        <v>pollitis</v>
      </c>
      <c r="I67" s="123">
        <v>0.0</v>
      </c>
      <c r="J67" s="125" t="str">
        <f>B70</f>
        <v>pollitis</v>
      </c>
      <c r="K67" s="123">
        <v>106.0</v>
      </c>
      <c r="L67" s="125" t="str">
        <f>B65</f>
        <v>Wartin</v>
      </c>
      <c r="M67" s="123">
        <v>264.0</v>
      </c>
      <c r="N67" s="125" t="str">
        <f t="shared" ref="N67:N68" si="33">B71</f>
        <v>Aardwolf44</v>
      </c>
      <c r="O67" s="123">
        <v>255.0</v>
      </c>
    </row>
    <row r="68">
      <c r="A68" s="111"/>
      <c r="B68" s="61" t="s">
        <v>85</v>
      </c>
      <c r="C68" s="128">
        <v>138.0</v>
      </c>
      <c r="D68" s="129" t="str">
        <f t="shared" si="32"/>
        <v>Aardwolf44</v>
      </c>
      <c r="E68" s="131">
        <v>164.0</v>
      </c>
      <c r="F68" s="132" t="str">
        <f>B65</f>
        <v>Wartin</v>
      </c>
      <c r="G68" s="131">
        <v>175.0</v>
      </c>
      <c r="H68" s="132" t="str">
        <f>B66</f>
        <v>JeroenSchreurs</v>
      </c>
      <c r="I68" s="131">
        <v>127.0</v>
      </c>
      <c r="J68" s="132" t="str">
        <f>B72</f>
        <v>bzburnin</v>
      </c>
      <c r="K68" s="131">
        <v>123.0</v>
      </c>
      <c r="L68" s="132" t="str">
        <f>B72</f>
        <v>bzburnin</v>
      </c>
      <c r="M68" s="131">
        <v>214.0</v>
      </c>
      <c r="N68" s="132" t="str">
        <f t="shared" si="33"/>
        <v>bzburnin</v>
      </c>
      <c r="O68" s="131">
        <v>119.0</v>
      </c>
    </row>
    <row r="69">
      <c r="A69" s="111"/>
      <c r="B69" s="114" t="s">
        <v>158</v>
      </c>
      <c r="C69" s="37"/>
      <c r="D69" s="134" t="s">
        <v>159</v>
      </c>
      <c r="E69" s="135"/>
      <c r="F69" s="136" t="s">
        <v>161</v>
      </c>
      <c r="G69" s="135"/>
      <c r="H69" s="136" t="s">
        <v>162</v>
      </c>
      <c r="I69" s="135"/>
      <c r="J69" s="136" t="s">
        <v>163</v>
      </c>
      <c r="K69" s="135"/>
      <c r="L69" s="136" t="s">
        <v>165</v>
      </c>
      <c r="M69" s="135"/>
      <c r="N69" s="136" t="s">
        <v>166</v>
      </c>
      <c r="O69" s="135"/>
    </row>
    <row r="70">
      <c r="A70" s="111"/>
      <c r="B70" s="61" t="s">
        <v>131</v>
      </c>
      <c r="C70" s="137">
        <v>98.0</v>
      </c>
      <c r="D70" s="121" t="str">
        <f t="shared" ref="D70:D71" si="34">B66</f>
        <v>JeroenSchreurs</v>
      </c>
      <c r="E70" s="123">
        <v>0.0</v>
      </c>
      <c r="F70" s="125" t="str">
        <f t="shared" ref="F70:F71" si="35">B67</f>
        <v>Thaddeus</v>
      </c>
      <c r="G70" s="123">
        <v>199.0</v>
      </c>
      <c r="H70" s="125" t="str">
        <f>B72</f>
        <v>bzburnin</v>
      </c>
      <c r="I70" s="123">
        <v>103.0</v>
      </c>
      <c r="J70" s="125" t="str">
        <f>B71</f>
        <v>Aardwolf44</v>
      </c>
      <c r="K70" s="123">
        <v>191.0</v>
      </c>
      <c r="L70" s="125" t="str">
        <f>B68</f>
        <v>albinsix</v>
      </c>
      <c r="M70" s="123">
        <v>165.0</v>
      </c>
      <c r="N70" s="125" t="str">
        <f t="shared" ref="N70:N71" si="36">B65</f>
        <v>Wartin</v>
      </c>
      <c r="O70" s="123">
        <v>207.0</v>
      </c>
    </row>
    <row r="71">
      <c r="A71" s="111"/>
      <c r="B71" s="61" t="s">
        <v>53</v>
      </c>
      <c r="C71" s="115">
        <v>125.0</v>
      </c>
      <c r="D71" s="121" t="str">
        <f t="shared" si="34"/>
        <v>Thaddeus</v>
      </c>
      <c r="E71" s="123">
        <v>163.0</v>
      </c>
      <c r="F71" s="125" t="str">
        <f t="shared" si="35"/>
        <v>albinsix</v>
      </c>
      <c r="G71" s="123">
        <v>138.0</v>
      </c>
      <c r="H71" s="125" t="str">
        <f>B68</f>
        <v>albinsix</v>
      </c>
      <c r="I71" s="123">
        <v>146.0</v>
      </c>
      <c r="J71" s="125" t="str">
        <f>B67</f>
        <v>Thaddeus</v>
      </c>
      <c r="K71" s="123">
        <v>176.0</v>
      </c>
      <c r="L71" s="125" t="str">
        <f>B66</f>
        <v>JeroenSchreurs</v>
      </c>
      <c r="M71" s="123">
        <v>236.0</v>
      </c>
      <c r="N71" s="125" t="str">
        <f t="shared" si="36"/>
        <v>JeroenSchreurs</v>
      </c>
      <c r="O71" s="123">
        <v>192.0</v>
      </c>
    </row>
    <row r="72">
      <c r="A72" s="111"/>
      <c r="B72" s="96" t="s">
        <v>88</v>
      </c>
      <c r="C72" s="128">
        <v>97.0</v>
      </c>
      <c r="D72" s="129" t="str">
        <f>B72</f>
        <v>bzburnin</v>
      </c>
      <c r="E72" s="131">
        <v>215.0</v>
      </c>
      <c r="F72" s="132" t="str">
        <f>B70</f>
        <v>pollitis</v>
      </c>
      <c r="G72" s="131">
        <v>100.0</v>
      </c>
      <c r="H72" s="132" t="str">
        <f>B65</f>
        <v>Wartin</v>
      </c>
      <c r="I72" s="131">
        <v>103.0</v>
      </c>
      <c r="J72" s="132" t="str">
        <f>B65</f>
        <v>Wartin</v>
      </c>
      <c r="K72" s="131">
        <v>217.0</v>
      </c>
      <c r="L72" s="132" t="str">
        <f>B71</f>
        <v>Aardwolf44</v>
      </c>
      <c r="M72" s="131">
        <v>239.0</v>
      </c>
      <c r="N72" s="132" t="str">
        <f>B70</f>
        <v>pollitis</v>
      </c>
      <c r="O72" s="131">
        <v>127.0</v>
      </c>
    </row>
    <row r="73">
      <c r="A73" s="60"/>
    </row>
    <row r="74">
      <c r="A74" s="60"/>
      <c r="B74" s="35" t="s">
        <v>188</v>
      </c>
      <c r="C74" s="36"/>
      <c r="D74" s="36"/>
      <c r="E74" s="36"/>
      <c r="F74" s="36"/>
      <c r="G74" s="36"/>
      <c r="H74" s="36"/>
      <c r="I74" s="36"/>
      <c r="J74" s="36"/>
      <c r="K74" s="36"/>
      <c r="L74" s="36"/>
      <c r="M74" s="36"/>
      <c r="N74" s="36"/>
      <c r="O74" s="37"/>
    </row>
    <row r="75">
      <c r="B75" s="112">
        <f>B$3</f>
        <v>43569</v>
      </c>
      <c r="C75" s="37"/>
      <c r="D75" s="140">
        <f>B75+7</f>
        <v>43576</v>
      </c>
      <c r="E75" s="37"/>
      <c r="F75" s="140">
        <f>D75+7</f>
        <v>43583</v>
      </c>
      <c r="G75" s="37"/>
      <c r="H75" s="140">
        <f>F75+7</f>
        <v>43590</v>
      </c>
      <c r="I75" s="37"/>
      <c r="J75" s="140">
        <f>H75+7</f>
        <v>43597</v>
      </c>
      <c r="K75" s="37"/>
      <c r="L75" s="140">
        <f>J75+7</f>
        <v>43604</v>
      </c>
      <c r="M75" s="37"/>
      <c r="N75" s="140">
        <f>L75+7</f>
        <v>43611</v>
      </c>
      <c r="O75" s="37"/>
    </row>
    <row r="76">
      <c r="A76" s="50"/>
      <c r="B76" s="55" t="s">
        <v>105</v>
      </c>
      <c r="C76" s="37"/>
      <c r="D76" s="55" t="s">
        <v>108</v>
      </c>
      <c r="E76" s="37"/>
      <c r="F76" s="55" t="s">
        <v>113</v>
      </c>
      <c r="G76" s="37"/>
      <c r="H76" s="55" t="s">
        <v>114</v>
      </c>
      <c r="I76" s="37"/>
      <c r="J76" s="55" t="s">
        <v>116</v>
      </c>
      <c r="K76" s="37"/>
      <c r="L76" s="55" t="s">
        <v>119</v>
      </c>
      <c r="M76" s="37"/>
      <c r="N76" s="55" t="s">
        <v>121</v>
      </c>
      <c r="O76" s="37"/>
    </row>
    <row r="77">
      <c r="A77" s="60"/>
      <c r="B77" s="92" t="s">
        <v>93</v>
      </c>
      <c r="C77" s="62">
        <v>152.0</v>
      </c>
      <c r="D77" s="116" t="str">
        <f>B80</f>
        <v>brumynut</v>
      </c>
      <c r="E77" s="117">
        <v>121.0</v>
      </c>
      <c r="F77" s="118" t="str">
        <f>B84</f>
        <v>theChony</v>
      </c>
      <c r="G77" s="117">
        <v>158.0</v>
      </c>
      <c r="H77" s="118" t="str">
        <f>B83</f>
        <v>Etherealz</v>
      </c>
      <c r="I77" s="117">
        <v>175.0</v>
      </c>
      <c r="J77" s="118" t="str">
        <f>B78</f>
        <v>Luitheone</v>
      </c>
      <c r="K77" s="117">
        <v>158.0</v>
      </c>
      <c r="L77" s="118" t="str">
        <f>B82</f>
        <v>ranch99</v>
      </c>
      <c r="M77" s="117">
        <v>129.0</v>
      </c>
      <c r="N77" s="118" t="str">
        <f t="shared" ref="N77:N78" si="37">B79</f>
        <v>SuwalaT</v>
      </c>
      <c r="O77" s="117">
        <v>135.0</v>
      </c>
    </row>
    <row r="78">
      <c r="A78" s="60"/>
      <c r="B78" s="92" t="s">
        <v>115</v>
      </c>
      <c r="C78" s="62">
        <v>128.0</v>
      </c>
      <c r="D78" s="121" t="str">
        <f>B77</f>
        <v>Jorrig</v>
      </c>
      <c r="E78" s="123">
        <v>216.0</v>
      </c>
      <c r="F78" s="125" t="str">
        <f>B78</f>
        <v>Luitheone</v>
      </c>
      <c r="G78" s="123">
        <v>179.0</v>
      </c>
      <c r="H78" s="125" t="str">
        <f>B79</f>
        <v>SuwalaT</v>
      </c>
      <c r="I78" s="123">
        <v>133.0</v>
      </c>
      <c r="J78" s="125" t="str">
        <f>B80</f>
        <v>brumynut</v>
      </c>
      <c r="K78" s="123">
        <v>200.0</v>
      </c>
      <c r="L78" s="125" t="str">
        <f>B79</f>
        <v>SuwalaT</v>
      </c>
      <c r="M78" s="123">
        <v>106.0</v>
      </c>
      <c r="N78" s="125" t="str">
        <f t="shared" si="37"/>
        <v>brumynut</v>
      </c>
      <c r="O78" s="123">
        <v>116.0</v>
      </c>
    </row>
    <row r="79">
      <c r="A79" s="60"/>
      <c r="B79" s="61" t="s">
        <v>136</v>
      </c>
      <c r="C79" s="62">
        <v>113.0</v>
      </c>
      <c r="D79" s="121" t="str">
        <f t="shared" ref="D79:D80" si="38">B82</f>
        <v>ranch99</v>
      </c>
      <c r="E79" s="123">
        <v>177.0</v>
      </c>
      <c r="F79" s="125" t="str">
        <f>B83</f>
        <v>Etherealz</v>
      </c>
      <c r="G79" s="123">
        <v>185.0</v>
      </c>
      <c r="H79" s="125" t="str">
        <f>B82</f>
        <v>ranch99</v>
      </c>
      <c r="I79" s="123">
        <v>176.0</v>
      </c>
      <c r="J79" s="125" t="str">
        <f>B82</f>
        <v>ranch99</v>
      </c>
      <c r="K79" s="123">
        <v>256.0</v>
      </c>
      <c r="L79" s="125" t="str">
        <f>B77</f>
        <v>Jorrig</v>
      </c>
      <c r="M79" s="123">
        <v>187.0</v>
      </c>
      <c r="N79" s="125" t="str">
        <f t="shared" ref="N79:N80" si="39">B83</f>
        <v>Etherealz</v>
      </c>
      <c r="O79" s="123">
        <v>89.0</v>
      </c>
    </row>
    <row r="80">
      <c r="A80" s="60"/>
      <c r="B80" s="92" t="s">
        <v>120</v>
      </c>
      <c r="C80" s="85">
        <v>62.0</v>
      </c>
      <c r="D80" s="129" t="str">
        <f t="shared" si="38"/>
        <v>Etherealz</v>
      </c>
      <c r="E80" s="131">
        <v>215.0</v>
      </c>
      <c r="F80" s="132" t="str">
        <f>B77</f>
        <v>Jorrig</v>
      </c>
      <c r="G80" s="131">
        <v>194.0</v>
      </c>
      <c r="H80" s="132" t="str">
        <f>B78</f>
        <v>Luitheone</v>
      </c>
      <c r="I80" s="131">
        <v>160.0</v>
      </c>
      <c r="J80" s="132" t="str">
        <f>B84</f>
        <v>theChony</v>
      </c>
      <c r="K80" s="131">
        <v>135.0</v>
      </c>
      <c r="L80" s="132" t="str">
        <f>B84</f>
        <v>theChony</v>
      </c>
      <c r="M80" s="131">
        <v>213.0</v>
      </c>
      <c r="N80" s="132" t="str">
        <f t="shared" si="39"/>
        <v>theChony</v>
      </c>
      <c r="O80" s="131">
        <v>82.0</v>
      </c>
    </row>
    <row r="81">
      <c r="A81" s="60"/>
      <c r="B81" s="55" t="s">
        <v>158</v>
      </c>
      <c r="C81" s="37"/>
      <c r="D81" s="134" t="s">
        <v>159</v>
      </c>
      <c r="E81" s="135"/>
      <c r="F81" s="136" t="s">
        <v>161</v>
      </c>
      <c r="G81" s="135"/>
      <c r="H81" s="136" t="s">
        <v>162</v>
      </c>
      <c r="I81" s="135"/>
      <c r="J81" s="136" t="s">
        <v>163</v>
      </c>
      <c r="K81" s="135"/>
      <c r="L81" s="136" t="s">
        <v>165</v>
      </c>
      <c r="M81" s="135"/>
      <c r="N81" s="136" t="s">
        <v>166</v>
      </c>
      <c r="O81" s="135"/>
    </row>
    <row r="82">
      <c r="A82" s="60"/>
      <c r="B82" s="92" t="s">
        <v>97</v>
      </c>
      <c r="C82" s="62">
        <v>201.0</v>
      </c>
      <c r="D82" s="121" t="str">
        <f t="shared" ref="D82:D83" si="40">B78</f>
        <v>Luitheone</v>
      </c>
      <c r="E82" s="123">
        <v>182.0</v>
      </c>
      <c r="F82" s="125" t="str">
        <f t="shared" ref="F82:F83" si="41">B79</f>
        <v>SuwalaT</v>
      </c>
      <c r="G82" s="123">
        <v>100.0</v>
      </c>
      <c r="H82" s="125" t="str">
        <f>B84</f>
        <v>theChony</v>
      </c>
      <c r="I82" s="123">
        <v>123.0</v>
      </c>
      <c r="J82" s="125" t="str">
        <f>B83</f>
        <v>Etherealz</v>
      </c>
      <c r="K82" s="123">
        <v>157.0</v>
      </c>
      <c r="L82" s="125" t="str">
        <f>B80</f>
        <v>brumynut</v>
      </c>
      <c r="M82" s="123">
        <v>71.0</v>
      </c>
      <c r="N82" s="125" t="str">
        <f t="shared" ref="N82:N83" si="42">B77</f>
        <v>Jorrig</v>
      </c>
      <c r="O82" s="123">
        <v>44.0</v>
      </c>
    </row>
    <row r="83">
      <c r="A83" s="60"/>
      <c r="B83" s="92" t="s">
        <v>107</v>
      </c>
      <c r="C83" s="62">
        <v>141.0</v>
      </c>
      <c r="D83" s="121" t="str">
        <f t="shared" si="40"/>
        <v>SuwalaT</v>
      </c>
      <c r="E83" s="123">
        <v>220.0</v>
      </c>
      <c r="F83" s="125" t="str">
        <f t="shared" si="41"/>
        <v>brumynut</v>
      </c>
      <c r="G83" s="123">
        <v>155.0</v>
      </c>
      <c r="H83" s="125" t="str">
        <f>B80</f>
        <v>brumynut</v>
      </c>
      <c r="I83" s="123">
        <v>159.0</v>
      </c>
      <c r="J83" s="125" t="str">
        <f>B79</f>
        <v>SuwalaT</v>
      </c>
      <c r="K83" s="123">
        <v>109.0</v>
      </c>
      <c r="L83" s="125" t="str">
        <f>B78</f>
        <v>Luitheone</v>
      </c>
      <c r="M83" s="123">
        <v>198.0</v>
      </c>
      <c r="N83" s="125" t="str">
        <f t="shared" si="42"/>
        <v>Luitheone</v>
      </c>
      <c r="O83" s="123">
        <v>111.0</v>
      </c>
    </row>
    <row r="84">
      <c r="A84" s="60"/>
      <c r="B84" s="96" t="s">
        <v>139</v>
      </c>
      <c r="C84" s="85">
        <v>171.0</v>
      </c>
      <c r="D84" s="129" t="str">
        <f>B84</f>
        <v>theChony</v>
      </c>
      <c r="E84" s="131">
        <v>183.0</v>
      </c>
      <c r="F84" s="132" t="str">
        <f>B82</f>
        <v>ranch99</v>
      </c>
      <c r="G84" s="131">
        <v>179.0</v>
      </c>
      <c r="H84" s="132" t="str">
        <f>B77</f>
        <v>Jorrig</v>
      </c>
      <c r="I84" s="131">
        <v>126.0</v>
      </c>
      <c r="J84" s="132" t="str">
        <f>B77</f>
        <v>Jorrig</v>
      </c>
      <c r="K84" s="131">
        <v>164.0</v>
      </c>
      <c r="L84" s="132" t="str">
        <f>B83</f>
        <v>Etherealz</v>
      </c>
      <c r="M84" s="131">
        <v>203.0</v>
      </c>
      <c r="N84" s="132" t="str">
        <f>B82</f>
        <v>ranch99</v>
      </c>
      <c r="O84" s="131">
        <v>102.0</v>
      </c>
    </row>
    <row r="85">
      <c r="A85" s="60"/>
    </row>
    <row r="86">
      <c r="A86" s="60"/>
      <c r="B86" s="35" t="s">
        <v>205</v>
      </c>
      <c r="C86" s="36"/>
      <c r="D86" s="36"/>
      <c r="E86" s="36"/>
      <c r="F86" s="36"/>
      <c r="G86" s="36"/>
      <c r="H86" s="36"/>
      <c r="I86" s="36"/>
      <c r="J86" s="36"/>
      <c r="K86" s="36"/>
      <c r="L86" s="36"/>
      <c r="M86" s="36"/>
      <c r="N86" s="36"/>
      <c r="O86" s="37"/>
    </row>
    <row r="87">
      <c r="A87" s="111"/>
      <c r="B87" s="112">
        <f>B$3</f>
        <v>43569</v>
      </c>
      <c r="C87" s="37"/>
      <c r="D87" s="112">
        <f>B87+7</f>
        <v>43576</v>
      </c>
      <c r="E87" s="37"/>
      <c r="F87" s="112">
        <f>D87+7</f>
        <v>43583</v>
      </c>
      <c r="G87" s="37"/>
      <c r="H87" s="112">
        <f>F87+7</f>
        <v>43590</v>
      </c>
      <c r="I87" s="37"/>
      <c r="J87" s="112">
        <f>H87+7</f>
        <v>43597</v>
      </c>
      <c r="K87" s="37"/>
      <c r="L87" s="112">
        <f>J87+7</f>
        <v>43604</v>
      </c>
      <c r="M87" s="37"/>
      <c r="N87" s="112">
        <f>L87+7</f>
        <v>43611</v>
      </c>
      <c r="O87" s="37"/>
    </row>
    <row r="88">
      <c r="A88" s="113"/>
      <c r="B88" s="114" t="s">
        <v>105</v>
      </c>
      <c r="C88" s="37"/>
      <c r="D88" s="114" t="s">
        <v>108</v>
      </c>
      <c r="E88" s="37"/>
      <c r="F88" s="114" t="s">
        <v>113</v>
      </c>
      <c r="G88" s="37"/>
      <c r="H88" s="114" t="s">
        <v>114</v>
      </c>
      <c r="I88" s="37"/>
      <c r="J88" s="114" t="s">
        <v>116</v>
      </c>
      <c r="K88" s="37"/>
      <c r="L88" s="114" t="s">
        <v>119</v>
      </c>
      <c r="M88" s="37"/>
      <c r="N88" s="114" t="s">
        <v>121</v>
      </c>
      <c r="O88" s="37"/>
    </row>
    <row r="89">
      <c r="A89" s="111"/>
      <c r="B89" s="92" t="s">
        <v>122</v>
      </c>
      <c r="C89" s="62">
        <v>94.0</v>
      </c>
      <c r="D89" s="116" t="str">
        <f>B92</f>
        <v>JFK2016</v>
      </c>
      <c r="E89" s="117">
        <v>137.0</v>
      </c>
      <c r="F89" s="118" t="str">
        <f>B96</f>
        <v>MistWalker</v>
      </c>
      <c r="G89" s="117">
        <v>182.0</v>
      </c>
      <c r="H89" s="118" t="str">
        <f>B95</f>
        <v>jasdrakken</v>
      </c>
      <c r="I89" s="117">
        <v>101.0</v>
      </c>
      <c r="J89" s="118" t="str">
        <f>B90</f>
        <v>Mejdzr</v>
      </c>
      <c r="K89" s="117">
        <v>105.0</v>
      </c>
      <c r="L89" s="118" t="str">
        <f>B94</f>
        <v>Monik</v>
      </c>
      <c r="M89" s="117">
        <v>213.0</v>
      </c>
      <c r="N89" s="118" t="str">
        <f t="shared" ref="N89:N90" si="43">B91</f>
        <v>ivantz</v>
      </c>
      <c r="O89" s="117">
        <v>116.0</v>
      </c>
    </row>
    <row r="90">
      <c r="A90" s="111"/>
      <c r="B90" s="92" t="s">
        <v>91</v>
      </c>
      <c r="C90" s="62">
        <v>171.0</v>
      </c>
      <c r="D90" s="121" t="str">
        <f>B89</f>
        <v>firstfloorfinest</v>
      </c>
      <c r="E90" s="123">
        <v>147.0</v>
      </c>
      <c r="F90" s="125" t="str">
        <f>B90</f>
        <v>Mejdzr</v>
      </c>
      <c r="G90" s="123">
        <v>191.0</v>
      </c>
      <c r="H90" s="125" t="str">
        <f>B91</f>
        <v>ivantz</v>
      </c>
      <c r="I90" s="123">
        <v>162.0</v>
      </c>
      <c r="J90" s="125" t="str">
        <f>B92</f>
        <v>JFK2016</v>
      </c>
      <c r="K90" s="123">
        <v>119.0</v>
      </c>
      <c r="L90" s="125" t="str">
        <f>B91</f>
        <v>ivantz</v>
      </c>
      <c r="M90" s="123">
        <v>129.0</v>
      </c>
      <c r="N90" s="125" t="str">
        <f t="shared" si="43"/>
        <v>JFK2016</v>
      </c>
      <c r="O90" s="123">
        <v>94.0</v>
      </c>
    </row>
    <row r="91">
      <c r="A91" s="111"/>
      <c r="B91" s="92" t="s">
        <v>106</v>
      </c>
      <c r="C91" s="62">
        <v>143.0</v>
      </c>
      <c r="D91" s="171" t="str">
        <f t="shared" ref="D91:D92" si="44">B94</f>
        <v>Monik</v>
      </c>
      <c r="E91" s="123">
        <v>0.0</v>
      </c>
      <c r="F91" s="125" t="str">
        <f>B95</f>
        <v>jasdrakken</v>
      </c>
      <c r="G91" s="123">
        <v>155.0</v>
      </c>
      <c r="H91" s="125" t="str">
        <f>B94</f>
        <v>Monik</v>
      </c>
      <c r="I91" s="123">
        <v>176.0</v>
      </c>
      <c r="J91" s="172" t="str">
        <f>B94</f>
        <v>Monik</v>
      </c>
      <c r="K91" s="123">
        <v>0.0</v>
      </c>
      <c r="L91" s="125" t="str">
        <f>B89</f>
        <v>firstfloorfinest</v>
      </c>
      <c r="M91" s="123">
        <v>85.0</v>
      </c>
      <c r="N91" s="125" t="str">
        <f t="shared" ref="N91:N92" si="45">B95</f>
        <v>jasdrakken</v>
      </c>
      <c r="O91" s="123">
        <v>48.0</v>
      </c>
    </row>
    <row r="92">
      <c r="A92" s="111"/>
      <c r="B92" s="92" t="s">
        <v>112</v>
      </c>
      <c r="C92" s="85">
        <v>130.0</v>
      </c>
      <c r="D92" s="129" t="str">
        <f t="shared" si="44"/>
        <v>jasdrakken</v>
      </c>
      <c r="E92" s="131">
        <v>96.0</v>
      </c>
      <c r="F92" s="132" t="str">
        <f>B89</f>
        <v>firstfloorfinest</v>
      </c>
      <c r="G92" s="131">
        <v>153.0</v>
      </c>
      <c r="H92" s="132" t="str">
        <f>B90</f>
        <v>Mejdzr</v>
      </c>
      <c r="I92" s="131">
        <v>193.0</v>
      </c>
      <c r="J92" s="132" t="str">
        <f>B96</f>
        <v>MistWalker</v>
      </c>
      <c r="K92" s="131">
        <v>118.0</v>
      </c>
      <c r="L92" s="132" t="str">
        <f>B96</f>
        <v>MistWalker</v>
      </c>
      <c r="M92" s="131">
        <v>176.0</v>
      </c>
      <c r="N92" s="132" t="str">
        <f t="shared" si="45"/>
        <v>MistWalker</v>
      </c>
      <c r="O92" s="131">
        <v>165.0</v>
      </c>
    </row>
    <row r="93">
      <c r="A93" s="111"/>
      <c r="B93" s="55" t="s">
        <v>158</v>
      </c>
      <c r="C93" s="37"/>
      <c r="D93" s="134" t="s">
        <v>159</v>
      </c>
      <c r="E93" s="135"/>
      <c r="F93" s="136" t="s">
        <v>161</v>
      </c>
      <c r="G93" s="135"/>
      <c r="H93" s="136" t="s">
        <v>162</v>
      </c>
      <c r="I93" s="135"/>
      <c r="J93" s="136" t="s">
        <v>163</v>
      </c>
      <c r="K93" s="135"/>
      <c r="L93" s="136" t="s">
        <v>165</v>
      </c>
      <c r="M93" s="135"/>
      <c r="N93" s="136" t="s">
        <v>166</v>
      </c>
      <c r="O93" s="135"/>
    </row>
    <row r="94">
      <c r="A94" s="111"/>
      <c r="B94" s="173" t="s">
        <v>137</v>
      </c>
      <c r="C94" s="62">
        <v>0.0</v>
      </c>
      <c r="D94" s="121" t="str">
        <f t="shared" ref="D94:D95" si="46">B90</f>
        <v>Mejdzr</v>
      </c>
      <c r="E94" s="123">
        <v>120.0</v>
      </c>
      <c r="F94" s="125" t="str">
        <f t="shared" ref="F94:F95" si="47">B91</f>
        <v>ivantz</v>
      </c>
      <c r="G94" s="123">
        <v>130.0</v>
      </c>
      <c r="H94" s="125" t="str">
        <f>B96</f>
        <v>MistWalker</v>
      </c>
      <c r="I94" s="123">
        <v>188.0</v>
      </c>
      <c r="J94" s="125" t="str">
        <f>B95</f>
        <v>jasdrakken</v>
      </c>
      <c r="K94" s="123">
        <v>113.0</v>
      </c>
      <c r="L94" s="125" t="str">
        <f>B92</f>
        <v>JFK2016</v>
      </c>
      <c r="M94" s="123">
        <v>128.0</v>
      </c>
      <c r="N94" s="125" t="str">
        <f t="shared" ref="N94:N95" si="48">B89</f>
        <v>firstfloorfinest</v>
      </c>
      <c r="O94" s="123">
        <v>131.0</v>
      </c>
    </row>
    <row r="95">
      <c r="A95" s="111"/>
      <c r="B95" s="61" t="s">
        <v>142</v>
      </c>
      <c r="C95" s="62">
        <v>41.0</v>
      </c>
      <c r="D95" s="121" t="str">
        <f t="shared" si="46"/>
        <v>ivantz</v>
      </c>
      <c r="E95" s="123">
        <v>105.0</v>
      </c>
      <c r="F95" s="125" t="str">
        <f t="shared" si="47"/>
        <v>JFK2016</v>
      </c>
      <c r="G95" s="123">
        <v>113.0</v>
      </c>
      <c r="H95" s="125" t="str">
        <f>B92</f>
        <v>JFK2016</v>
      </c>
      <c r="I95" s="123">
        <v>170.0</v>
      </c>
      <c r="J95" s="125" t="str">
        <f>B91</f>
        <v>ivantz</v>
      </c>
      <c r="K95" s="123">
        <v>137.0</v>
      </c>
      <c r="L95" s="125" t="str">
        <f>B90</f>
        <v>Mejdzr</v>
      </c>
      <c r="M95" s="123">
        <v>144.0</v>
      </c>
      <c r="N95" s="125" t="str">
        <f t="shared" si="48"/>
        <v>Mejdzr</v>
      </c>
      <c r="O95" s="123">
        <v>196.0</v>
      </c>
    </row>
    <row r="96">
      <c r="A96" s="111"/>
      <c r="B96" s="174" t="s">
        <v>94</v>
      </c>
      <c r="C96" s="85">
        <v>129.0</v>
      </c>
      <c r="D96" s="129" t="str">
        <f>B96</f>
        <v>MistWalker</v>
      </c>
      <c r="E96" s="131">
        <v>178.0</v>
      </c>
      <c r="F96" s="163" t="str">
        <f>B94</f>
        <v>Monik</v>
      </c>
      <c r="G96" s="131">
        <v>0.0</v>
      </c>
      <c r="H96" s="132" t="str">
        <f>B89</f>
        <v>firstfloorfinest</v>
      </c>
      <c r="I96" s="131">
        <v>157.0</v>
      </c>
      <c r="J96" s="132" t="str">
        <f>B89</f>
        <v>firstfloorfinest</v>
      </c>
      <c r="K96" s="131">
        <v>119.0</v>
      </c>
      <c r="L96" s="132" t="str">
        <f>B95</f>
        <v>jasdrakken</v>
      </c>
      <c r="M96" s="131">
        <v>122.0</v>
      </c>
      <c r="N96" s="163" t="str">
        <f>B94</f>
        <v>Monik</v>
      </c>
      <c r="O96" s="131">
        <v>0.0</v>
      </c>
    </row>
    <row r="97">
      <c r="A97" s="60"/>
    </row>
    <row r="98">
      <c r="A98" s="60"/>
      <c r="B98" s="35" t="s">
        <v>207</v>
      </c>
      <c r="C98" s="36"/>
      <c r="D98" s="36"/>
      <c r="E98" s="36"/>
      <c r="F98" s="36"/>
      <c r="G98" s="36"/>
      <c r="H98" s="36"/>
      <c r="I98" s="36"/>
      <c r="J98" s="36"/>
      <c r="K98" s="36"/>
      <c r="L98" s="36"/>
      <c r="M98" s="36"/>
      <c r="N98" s="36"/>
      <c r="O98" s="37"/>
    </row>
    <row r="99">
      <c r="A99" s="60"/>
      <c r="B99" s="112">
        <f>B$3</f>
        <v>43569</v>
      </c>
      <c r="C99" s="37"/>
      <c r="D99" s="112">
        <f>B99+7</f>
        <v>43576</v>
      </c>
      <c r="E99" s="37"/>
      <c r="F99" s="112">
        <f>D99+7</f>
        <v>43583</v>
      </c>
      <c r="G99" s="37"/>
      <c r="H99" s="112">
        <f>F99+7</f>
        <v>43590</v>
      </c>
      <c r="I99" s="37"/>
      <c r="J99" s="112">
        <f>H99+7</f>
        <v>43597</v>
      </c>
      <c r="K99" s="37"/>
      <c r="L99" s="112">
        <f>J99+7</f>
        <v>43604</v>
      </c>
      <c r="M99" s="37"/>
      <c r="N99" s="112">
        <f>L99+7</f>
        <v>43611</v>
      </c>
      <c r="O99" s="37"/>
    </row>
    <row r="100">
      <c r="A100" s="60"/>
      <c r="B100" s="114" t="s">
        <v>105</v>
      </c>
      <c r="C100" s="37"/>
      <c r="D100" s="114" t="s">
        <v>108</v>
      </c>
      <c r="E100" s="37"/>
      <c r="F100" s="114" t="s">
        <v>113</v>
      </c>
      <c r="G100" s="37"/>
      <c r="H100" s="114" t="s">
        <v>114</v>
      </c>
      <c r="I100" s="37"/>
      <c r="J100" s="114" t="s">
        <v>116</v>
      </c>
      <c r="K100" s="37"/>
      <c r="L100" s="114" t="s">
        <v>119</v>
      </c>
      <c r="M100" s="37"/>
      <c r="N100" s="114" t="s">
        <v>121</v>
      </c>
      <c r="O100" s="37"/>
    </row>
    <row r="101">
      <c r="A101" s="60"/>
      <c r="B101" s="175" t="s">
        <v>95</v>
      </c>
      <c r="C101" s="62">
        <v>132.0</v>
      </c>
      <c r="D101" s="116" t="str">
        <f>B103</f>
        <v>Hubcap4x4</v>
      </c>
      <c r="E101" s="117">
        <v>154.0</v>
      </c>
      <c r="F101" s="118" t="str">
        <f t="shared" ref="F101:F103" si="49">B106</f>
        <v>nasing</v>
      </c>
      <c r="G101" s="117">
        <v>142.0</v>
      </c>
      <c r="H101" s="118" t="str">
        <f>B108</f>
        <v>venansula</v>
      </c>
      <c r="I101" s="117">
        <v>199.0</v>
      </c>
      <c r="J101" s="118" t="str">
        <f>B102</f>
        <v>rporrini</v>
      </c>
      <c r="K101" s="117">
        <v>0.0</v>
      </c>
      <c r="L101" s="118" t="str">
        <f>B110</f>
        <v>machine_elf</v>
      </c>
      <c r="M101" s="117">
        <v>151.0</v>
      </c>
      <c r="N101" s="118" t="str">
        <f>B104</f>
        <v>varro</v>
      </c>
      <c r="O101" s="117">
        <v>146.0</v>
      </c>
    </row>
    <row r="102">
      <c r="A102" s="60"/>
      <c r="B102" s="175" t="s">
        <v>144</v>
      </c>
      <c r="C102" s="62">
        <v>0.0</v>
      </c>
      <c r="D102" s="121" t="str">
        <f>B108</f>
        <v>venansula</v>
      </c>
      <c r="E102" s="123">
        <v>168.0</v>
      </c>
      <c r="F102" s="125" t="str">
        <f t="shared" si="49"/>
        <v>Peaceminusone</v>
      </c>
      <c r="G102" s="123">
        <v>223.0</v>
      </c>
      <c r="H102" s="125" t="str">
        <f t="shared" ref="H102:H103" si="50">B101</f>
        <v>mindphaser</v>
      </c>
      <c r="I102" s="123">
        <v>201.0</v>
      </c>
      <c r="J102" s="125" t="str">
        <f>B106</f>
        <v>nasing</v>
      </c>
      <c r="K102" s="123">
        <v>161.0</v>
      </c>
      <c r="L102" s="125" t="str">
        <f>B107</f>
        <v>Peaceminusone</v>
      </c>
      <c r="M102" s="123">
        <v>138.0</v>
      </c>
      <c r="N102" s="125" t="str">
        <f>B101</f>
        <v>mindphaser</v>
      </c>
      <c r="O102" s="123">
        <v>162.0</v>
      </c>
    </row>
    <row r="103">
      <c r="A103" s="60"/>
      <c r="B103" s="176" t="s">
        <v>140</v>
      </c>
      <c r="C103" s="62">
        <v>68.0</v>
      </c>
      <c r="D103" s="121" t="str">
        <f>B107</f>
        <v>Peaceminusone</v>
      </c>
      <c r="E103" s="123">
        <v>0.0</v>
      </c>
      <c r="F103" s="125" t="str">
        <f t="shared" si="49"/>
        <v>venansula</v>
      </c>
      <c r="G103" s="123">
        <v>161.0</v>
      </c>
      <c r="H103" s="125" t="str">
        <f t="shared" si="50"/>
        <v>rporrini</v>
      </c>
      <c r="I103" s="123">
        <v>0.0</v>
      </c>
      <c r="J103" s="125" t="str">
        <f t="shared" ref="J103:J104" si="51">B103</f>
        <v>Hubcap4x4</v>
      </c>
      <c r="K103" s="123">
        <v>201.0</v>
      </c>
      <c r="L103" s="125" t="str">
        <f>B102</f>
        <v>rporrini</v>
      </c>
      <c r="M103" s="123">
        <v>98.0</v>
      </c>
      <c r="N103" s="125" t="str">
        <f>B110</f>
        <v>machine_elf</v>
      </c>
      <c r="O103" s="123">
        <v>98.0</v>
      </c>
    </row>
    <row r="104">
      <c r="A104" s="60"/>
      <c r="B104" s="176" t="s">
        <v>104</v>
      </c>
      <c r="C104" s="85">
        <v>188.0</v>
      </c>
      <c r="D104" s="129" t="str">
        <f>B110</f>
        <v>machine_elf</v>
      </c>
      <c r="E104" s="131">
        <v>160.0</v>
      </c>
      <c r="F104" s="132" t="str">
        <f>B103</f>
        <v>Hubcap4x4</v>
      </c>
      <c r="G104" s="131">
        <v>114.0</v>
      </c>
      <c r="H104" s="132" t="str">
        <f>B110</f>
        <v>machine_elf</v>
      </c>
      <c r="I104" s="131">
        <v>137.0</v>
      </c>
      <c r="J104" s="132" t="str">
        <f t="shared" si="51"/>
        <v>varro</v>
      </c>
      <c r="K104" s="131">
        <v>214.0</v>
      </c>
      <c r="L104" s="132" t="str">
        <f>B106</f>
        <v>nasing</v>
      </c>
      <c r="M104" s="131">
        <v>169.0</v>
      </c>
      <c r="N104" s="132" t="str">
        <f>B106</f>
        <v>nasing</v>
      </c>
      <c r="O104" s="131">
        <v>100.0</v>
      </c>
    </row>
    <row r="105">
      <c r="A105" s="60"/>
      <c r="B105" s="55" t="s">
        <v>158</v>
      </c>
      <c r="C105" s="37"/>
      <c r="D105" s="134" t="s">
        <v>159</v>
      </c>
      <c r="E105" s="135"/>
      <c r="F105" s="136" t="s">
        <v>161</v>
      </c>
      <c r="G105" s="135"/>
      <c r="H105" s="136" t="s">
        <v>162</v>
      </c>
      <c r="I105" s="135"/>
      <c r="J105" s="136" t="s">
        <v>163</v>
      </c>
      <c r="K105" s="135"/>
      <c r="L105" s="136" t="s">
        <v>165</v>
      </c>
      <c r="M105" s="135"/>
      <c r="N105" s="136" t="s">
        <v>166</v>
      </c>
      <c r="O105" s="135"/>
    </row>
    <row r="106">
      <c r="A106" s="60"/>
      <c r="B106" s="176" t="s">
        <v>117</v>
      </c>
      <c r="C106" s="62">
        <v>196.0</v>
      </c>
      <c r="D106" s="121" t="str">
        <f>B101</f>
        <v>mindphaser</v>
      </c>
      <c r="E106" s="123">
        <v>212.0</v>
      </c>
      <c r="F106" s="125" t="str">
        <f>B102</f>
        <v>rporrini</v>
      </c>
      <c r="G106" s="123">
        <v>22.0</v>
      </c>
      <c r="H106" s="125" t="str">
        <f>B103</f>
        <v>Hubcap4x4</v>
      </c>
      <c r="I106" s="123">
        <v>143.0</v>
      </c>
      <c r="J106" s="125" t="str">
        <f>B107</f>
        <v>Peaceminusone</v>
      </c>
      <c r="K106" s="123">
        <v>177.0</v>
      </c>
      <c r="L106" s="125" t="str">
        <f>B104</f>
        <v>varro</v>
      </c>
      <c r="M106" s="123">
        <v>141.0</v>
      </c>
      <c r="N106" s="125" t="str">
        <f>B108</f>
        <v>venansula</v>
      </c>
      <c r="O106" s="123">
        <v>186.0</v>
      </c>
    </row>
    <row r="107">
      <c r="A107" s="60"/>
      <c r="B107" s="175" t="s">
        <v>111</v>
      </c>
      <c r="C107" s="62">
        <v>163.0</v>
      </c>
      <c r="D107" s="121" t="str">
        <f>B106</f>
        <v>nasing</v>
      </c>
      <c r="E107" s="123">
        <v>204.0</v>
      </c>
      <c r="F107" s="125" t="str">
        <f>B110</f>
        <v>machine_elf</v>
      </c>
      <c r="G107" s="123">
        <v>144.0</v>
      </c>
      <c r="H107" s="125" t="str">
        <f>B107</f>
        <v>Peaceminusone</v>
      </c>
      <c r="I107" s="123">
        <v>151.0</v>
      </c>
      <c r="J107" s="125" t="str">
        <f>B101</f>
        <v>mindphaser</v>
      </c>
      <c r="K107" s="123">
        <v>206.0</v>
      </c>
      <c r="L107" s="125" t="str">
        <f>B101</f>
        <v>mindphaser</v>
      </c>
      <c r="M107" s="123">
        <v>160.0</v>
      </c>
      <c r="N107" s="125" t="str">
        <f t="shared" ref="N107:N108" si="52">B102</f>
        <v>rporrini</v>
      </c>
      <c r="O107" s="123">
        <v>103.0</v>
      </c>
    </row>
    <row r="108">
      <c r="A108" s="60"/>
      <c r="B108" s="177" t="s">
        <v>92</v>
      </c>
      <c r="C108" s="85">
        <v>199.0</v>
      </c>
      <c r="D108" s="129" t="str">
        <f>B102</f>
        <v>rporrini</v>
      </c>
      <c r="E108" s="131">
        <v>173.0</v>
      </c>
      <c r="F108" s="132" t="str">
        <f>B104</f>
        <v>varro</v>
      </c>
      <c r="G108" s="131">
        <v>162.0</v>
      </c>
      <c r="H108" s="132" t="str">
        <f>B104</f>
        <v>varro</v>
      </c>
      <c r="I108" s="131">
        <v>127.0</v>
      </c>
      <c r="J108" s="132" t="str">
        <f>B110</f>
        <v>machine_elf</v>
      </c>
      <c r="K108" s="131">
        <v>156.0</v>
      </c>
      <c r="L108" s="132" t="str">
        <f>B108</f>
        <v>venansula</v>
      </c>
      <c r="M108" s="131">
        <v>163.0</v>
      </c>
      <c r="N108" s="132" t="str">
        <f t="shared" si="52"/>
        <v>Hubcap4x4</v>
      </c>
      <c r="O108" s="131">
        <v>167.0</v>
      </c>
    </row>
    <row r="109">
      <c r="A109" s="60"/>
      <c r="B109" s="55" t="s">
        <v>208</v>
      </c>
      <c r="C109" s="37"/>
      <c r="D109" s="114" t="s">
        <v>209</v>
      </c>
      <c r="E109" s="37"/>
    </row>
    <row r="110">
      <c r="A110" s="60"/>
      <c r="B110" s="176" t="s">
        <v>123</v>
      </c>
      <c r="C110" s="62">
        <v>211.0</v>
      </c>
      <c r="D110" s="116" t="str">
        <f t="shared" ref="D110:D111" si="53">B107</f>
        <v>Peaceminusone</v>
      </c>
      <c r="E110" s="117">
        <v>202.0</v>
      </c>
    </row>
    <row r="111">
      <c r="A111" s="60"/>
      <c r="B111" s="176" t="str">
        <f>B106</f>
        <v>nasing</v>
      </c>
      <c r="C111" s="62">
        <v>175.0</v>
      </c>
      <c r="D111" s="121" t="str">
        <f t="shared" si="53"/>
        <v>venansula</v>
      </c>
      <c r="E111" s="123">
        <v>198.0</v>
      </c>
    </row>
    <row r="112">
      <c r="A112" s="60"/>
      <c r="B112" s="96" t="str">
        <f>B103</f>
        <v>Hubcap4x4</v>
      </c>
      <c r="C112" s="85">
        <v>167.0</v>
      </c>
      <c r="D112" s="121" t="str">
        <f>B101</f>
        <v>mindphaser</v>
      </c>
      <c r="E112" s="123">
        <v>162.0</v>
      </c>
    </row>
    <row r="113">
      <c r="A113" s="60"/>
      <c r="D113" s="129" t="str">
        <f>B104</f>
        <v>varro</v>
      </c>
      <c r="E113" s="131">
        <v>196.0</v>
      </c>
    </row>
    <row r="114">
      <c r="A114" s="60"/>
    </row>
    <row r="115">
      <c r="A115" s="60"/>
      <c r="B115" s="178" t="s">
        <v>210</v>
      </c>
      <c r="C115" s="179"/>
    </row>
    <row r="116">
      <c r="A116" s="60"/>
      <c r="B116" s="180" t="s">
        <v>63</v>
      </c>
      <c r="C116" s="105">
        <v>229.0</v>
      </c>
    </row>
    <row r="117">
      <c r="A117" s="60"/>
      <c r="B117" s="176" t="s">
        <v>75</v>
      </c>
      <c r="C117" s="62">
        <v>169.0</v>
      </c>
    </row>
    <row r="118">
      <c r="A118" s="60"/>
      <c r="B118" s="177" t="s">
        <v>71</v>
      </c>
      <c r="C118" s="85">
        <v>184.0</v>
      </c>
    </row>
    <row r="119">
      <c r="A119" s="60"/>
    </row>
    <row r="120">
      <c r="A120" s="60"/>
    </row>
    <row r="121">
      <c r="A121" s="60"/>
    </row>
    <row r="122">
      <c r="A122" s="60"/>
    </row>
    <row r="123">
      <c r="A123" s="60"/>
    </row>
    <row r="124">
      <c r="A124" s="60"/>
    </row>
    <row r="125">
      <c r="A125" s="60"/>
    </row>
    <row r="126">
      <c r="A126" s="60"/>
    </row>
    <row r="127">
      <c r="A127" s="60"/>
    </row>
    <row r="128">
      <c r="A128" s="60"/>
    </row>
    <row r="129">
      <c r="A129" s="60"/>
    </row>
    <row r="130">
      <c r="A130" s="60"/>
    </row>
    <row r="131">
      <c r="A131" s="60"/>
    </row>
    <row r="132">
      <c r="A132" s="60"/>
    </row>
    <row r="133">
      <c r="A133" s="60"/>
    </row>
    <row r="134">
      <c r="A134" s="60"/>
    </row>
    <row r="135">
      <c r="A135" s="60"/>
    </row>
    <row r="136">
      <c r="A136" s="60"/>
    </row>
    <row r="137">
      <c r="A137" s="60"/>
    </row>
    <row r="138">
      <c r="A138" s="60"/>
    </row>
    <row r="139">
      <c r="A139" s="60"/>
    </row>
    <row r="140">
      <c r="A140" s="60"/>
    </row>
    <row r="141">
      <c r="A141" s="60"/>
    </row>
    <row r="142">
      <c r="A142" s="60"/>
    </row>
    <row r="143">
      <c r="A143" s="60"/>
    </row>
    <row r="144">
      <c r="A144" s="60"/>
    </row>
    <row r="145">
      <c r="A145" s="60"/>
    </row>
    <row r="146">
      <c r="A146" s="60"/>
    </row>
    <row r="147">
      <c r="A147" s="60"/>
    </row>
    <row r="148">
      <c r="A148" s="60"/>
    </row>
    <row r="149">
      <c r="A149" s="60"/>
    </row>
    <row r="150">
      <c r="A150" s="60"/>
    </row>
    <row r="151">
      <c r="A151" s="60"/>
    </row>
    <row r="152">
      <c r="A152" s="60"/>
    </row>
    <row r="153">
      <c r="A153" s="60"/>
    </row>
    <row r="154">
      <c r="A154" s="60"/>
    </row>
    <row r="155">
      <c r="A155" s="60"/>
    </row>
    <row r="156">
      <c r="A156" s="60"/>
    </row>
    <row r="157">
      <c r="A157" s="60"/>
    </row>
    <row r="158">
      <c r="A158" s="60"/>
    </row>
    <row r="159">
      <c r="A159" s="60"/>
    </row>
    <row r="160">
      <c r="A160" s="60"/>
    </row>
    <row r="161">
      <c r="A161" s="60"/>
    </row>
    <row r="162">
      <c r="A162" s="60"/>
    </row>
    <row r="163">
      <c r="A163" s="60"/>
    </row>
    <row r="164">
      <c r="A164" s="60"/>
    </row>
    <row r="165">
      <c r="A165" s="60"/>
    </row>
    <row r="166">
      <c r="A166" s="60"/>
    </row>
    <row r="167">
      <c r="A167" s="60"/>
    </row>
    <row r="168">
      <c r="A168" s="60"/>
    </row>
    <row r="169">
      <c r="A169" s="60"/>
    </row>
    <row r="170">
      <c r="A170" s="60"/>
    </row>
    <row r="171">
      <c r="A171" s="60"/>
    </row>
    <row r="172">
      <c r="A172" s="60"/>
    </row>
    <row r="173">
      <c r="A173" s="60"/>
    </row>
    <row r="174">
      <c r="A174" s="60"/>
    </row>
    <row r="175">
      <c r="A175" s="60"/>
    </row>
    <row r="176">
      <c r="A176" s="60"/>
    </row>
    <row r="177">
      <c r="A177" s="60"/>
    </row>
    <row r="178">
      <c r="A178" s="60"/>
    </row>
    <row r="179">
      <c r="A179" s="60"/>
    </row>
    <row r="180">
      <c r="A180" s="60"/>
    </row>
    <row r="181">
      <c r="A181" s="60"/>
    </row>
    <row r="182">
      <c r="A182" s="60"/>
    </row>
    <row r="183">
      <c r="A183" s="60"/>
    </row>
    <row r="184">
      <c r="A184" s="60"/>
    </row>
    <row r="185">
      <c r="A185" s="60"/>
    </row>
    <row r="186">
      <c r="A186" s="60"/>
    </row>
    <row r="187">
      <c r="A187" s="60"/>
    </row>
    <row r="188">
      <c r="A188" s="60"/>
    </row>
    <row r="189">
      <c r="A189" s="60"/>
    </row>
    <row r="190">
      <c r="A190" s="60"/>
    </row>
    <row r="191">
      <c r="A191" s="60"/>
    </row>
    <row r="192">
      <c r="A192" s="60"/>
    </row>
    <row r="193">
      <c r="A193" s="60"/>
    </row>
    <row r="194">
      <c r="A194" s="60"/>
    </row>
    <row r="195">
      <c r="A195" s="60"/>
    </row>
    <row r="196">
      <c r="A196" s="60"/>
    </row>
    <row r="197">
      <c r="A197" s="60"/>
    </row>
    <row r="198">
      <c r="A198" s="60"/>
    </row>
    <row r="199">
      <c r="A199" s="60"/>
    </row>
    <row r="200">
      <c r="A200" s="60"/>
    </row>
    <row r="201">
      <c r="A201" s="60"/>
    </row>
    <row r="202">
      <c r="A202" s="60"/>
    </row>
    <row r="203">
      <c r="A203" s="60"/>
    </row>
    <row r="204">
      <c r="A204" s="60"/>
    </row>
    <row r="205">
      <c r="A205" s="60"/>
    </row>
    <row r="206">
      <c r="A206" s="60"/>
    </row>
    <row r="207">
      <c r="A207" s="60"/>
    </row>
    <row r="208">
      <c r="A208" s="60"/>
    </row>
    <row r="209">
      <c r="A209" s="60"/>
    </row>
    <row r="210">
      <c r="A210" s="60"/>
    </row>
    <row r="211">
      <c r="A211" s="60"/>
    </row>
    <row r="212">
      <c r="A212" s="60"/>
    </row>
    <row r="213">
      <c r="A213" s="60"/>
    </row>
    <row r="214">
      <c r="A214" s="60"/>
    </row>
    <row r="215">
      <c r="A215" s="60"/>
    </row>
    <row r="216">
      <c r="A216" s="60"/>
    </row>
    <row r="217">
      <c r="A217" s="60"/>
    </row>
    <row r="218">
      <c r="A218" s="60"/>
    </row>
    <row r="219">
      <c r="A219" s="60"/>
    </row>
    <row r="220">
      <c r="A220" s="60"/>
    </row>
    <row r="221">
      <c r="A221" s="60"/>
    </row>
    <row r="222">
      <c r="A222" s="60"/>
    </row>
    <row r="223">
      <c r="A223" s="60"/>
    </row>
    <row r="224">
      <c r="A224" s="60"/>
    </row>
    <row r="225">
      <c r="A225" s="60"/>
    </row>
    <row r="226">
      <c r="A226" s="60"/>
    </row>
    <row r="227">
      <c r="A227" s="60"/>
    </row>
    <row r="228">
      <c r="A228" s="60"/>
    </row>
    <row r="229">
      <c r="A229" s="60"/>
    </row>
    <row r="230">
      <c r="A230" s="60"/>
    </row>
    <row r="231">
      <c r="A231" s="60"/>
    </row>
    <row r="232">
      <c r="A232" s="60"/>
    </row>
    <row r="233">
      <c r="A233" s="60"/>
    </row>
    <row r="234">
      <c r="A234" s="60"/>
    </row>
    <row r="235">
      <c r="A235" s="60"/>
    </row>
    <row r="236">
      <c r="A236" s="60"/>
    </row>
    <row r="237">
      <c r="A237" s="60"/>
    </row>
    <row r="238">
      <c r="A238" s="60"/>
    </row>
    <row r="239">
      <c r="A239" s="60"/>
    </row>
    <row r="240">
      <c r="A240" s="60"/>
    </row>
    <row r="241">
      <c r="A241" s="60"/>
    </row>
    <row r="242">
      <c r="A242" s="60"/>
    </row>
    <row r="243">
      <c r="A243" s="60"/>
    </row>
    <row r="244">
      <c r="A244" s="60"/>
    </row>
    <row r="245">
      <c r="A245" s="60"/>
    </row>
    <row r="246">
      <c r="A246" s="60"/>
    </row>
    <row r="247">
      <c r="A247" s="60"/>
    </row>
    <row r="248">
      <c r="A248" s="60"/>
    </row>
    <row r="249">
      <c r="A249" s="60"/>
    </row>
    <row r="250">
      <c r="A250" s="60"/>
    </row>
    <row r="251">
      <c r="A251" s="60"/>
    </row>
    <row r="252">
      <c r="A252" s="60"/>
    </row>
    <row r="253">
      <c r="A253" s="60"/>
    </row>
    <row r="254">
      <c r="A254" s="60"/>
    </row>
    <row r="255">
      <c r="A255" s="60"/>
    </row>
    <row r="256">
      <c r="A256" s="60"/>
    </row>
    <row r="257">
      <c r="A257" s="60"/>
    </row>
    <row r="258">
      <c r="A258" s="60"/>
    </row>
    <row r="259">
      <c r="A259" s="60"/>
    </row>
    <row r="260">
      <c r="A260" s="60"/>
    </row>
    <row r="261">
      <c r="A261" s="60"/>
    </row>
    <row r="262">
      <c r="A262" s="60"/>
    </row>
    <row r="263">
      <c r="A263" s="60"/>
    </row>
    <row r="264">
      <c r="A264" s="60"/>
    </row>
    <row r="265">
      <c r="A265" s="60"/>
    </row>
    <row r="266">
      <c r="A266" s="60"/>
    </row>
    <row r="267">
      <c r="A267" s="60"/>
    </row>
    <row r="268">
      <c r="A268" s="60"/>
    </row>
    <row r="269">
      <c r="A269" s="60"/>
    </row>
    <row r="270">
      <c r="A270" s="60"/>
    </row>
    <row r="271">
      <c r="A271" s="60"/>
    </row>
    <row r="272">
      <c r="A272" s="60"/>
    </row>
    <row r="273">
      <c r="A273" s="60"/>
    </row>
    <row r="274">
      <c r="A274" s="60"/>
    </row>
    <row r="275">
      <c r="A275" s="60"/>
    </row>
    <row r="276">
      <c r="A276" s="60"/>
    </row>
    <row r="277">
      <c r="A277" s="60"/>
    </row>
    <row r="278">
      <c r="A278" s="60"/>
    </row>
    <row r="279">
      <c r="A279" s="60"/>
    </row>
    <row r="280">
      <c r="A280" s="60"/>
    </row>
    <row r="281">
      <c r="A281" s="60"/>
    </row>
    <row r="282">
      <c r="A282" s="60"/>
    </row>
    <row r="283">
      <c r="A283" s="60"/>
    </row>
    <row r="284">
      <c r="A284" s="60"/>
    </row>
    <row r="285">
      <c r="A285" s="60"/>
    </row>
    <row r="286">
      <c r="A286" s="60"/>
    </row>
    <row r="287">
      <c r="A287" s="60"/>
    </row>
    <row r="288">
      <c r="A288" s="60"/>
    </row>
    <row r="289">
      <c r="A289" s="60"/>
    </row>
    <row r="290">
      <c r="A290" s="60"/>
    </row>
    <row r="291">
      <c r="A291" s="60"/>
    </row>
    <row r="292">
      <c r="A292" s="60"/>
    </row>
    <row r="293">
      <c r="A293" s="60"/>
    </row>
    <row r="294">
      <c r="A294" s="60"/>
    </row>
    <row r="295">
      <c r="A295" s="60"/>
    </row>
    <row r="296">
      <c r="A296" s="60"/>
    </row>
    <row r="297">
      <c r="A297" s="60"/>
    </row>
    <row r="298">
      <c r="A298" s="60"/>
    </row>
    <row r="299">
      <c r="A299" s="60"/>
    </row>
    <row r="300">
      <c r="A300" s="60"/>
    </row>
    <row r="301">
      <c r="A301" s="60"/>
    </row>
    <row r="302">
      <c r="A302" s="60"/>
    </row>
    <row r="303">
      <c r="A303" s="60"/>
    </row>
    <row r="304">
      <c r="A304" s="60"/>
    </row>
    <row r="305">
      <c r="A305" s="60"/>
    </row>
    <row r="306">
      <c r="A306" s="60"/>
    </row>
    <row r="307">
      <c r="A307" s="60"/>
    </row>
    <row r="308">
      <c r="A308" s="60"/>
    </row>
    <row r="309">
      <c r="A309" s="60"/>
    </row>
    <row r="310">
      <c r="A310" s="60"/>
    </row>
    <row r="311">
      <c r="A311" s="60"/>
    </row>
    <row r="312">
      <c r="A312" s="60"/>
    </row>
    <row r="313">
      <c r="A313" s="60"/>
    </row>
    <row r="314">
      <c r="A314" s="60"/>
    </row>
    <row r="315">
      <c r="A315" s="60"/>
    </row>
    <row r="316">
      <c r="A316" s="60"/>
    </row>
    <row r="317">
      <c r="A317" s="60"/>
    </row>
    <row r="318">
      <c r="A318" s="60"/>
    </row>
    <row r="319">
      <c r="A319" s="60"/>
    </row>
    <row r="320">
      <c r="A320" s="60"/>
    </row>
    <row r="321">
      <c r="A321" s="60"/>
    </row>
    <row r="322">
      <c r="A322" s="60"/>
    </row>
    <row r="323">
      <c r="A323" s="60"/>
    </row>
    <row r="324">
      <c r="A324" s="60"/>
    </row>
    <row r="325">
      <c r="A325" s="60"/>
    </row>
    <row r="326">
      <c r="A326" s="60"/>
    </row>
    <row r="327">
      <c r="A327" s="60"/>
    </row>
    <row r="328">
      <c r="A328" s="60"/>
    </row>
    <row r="329">
      <c r="A329" s="60"/>
    </row>
    <row r="330">
      <c r="A330" s="60"/>
    </row>
    <row r="331">
      <c r="A331" s="60"/>
    </row>
    <row r="332">
      <c r="A332" s="60"/>
    </row>
    <row r="333">
      <c r="A333" s="60"/>
    </row>
    <row r="334">
      <c r="A334" s="60"/>
    </row>
    <row r="335">
      <c r="A335" s="60"/>
    </row>
    <row r="336">
      <c r="A336" s="60"/>
    </row>
    <row r="337">
      <c r="A337" s="60"/>
    </row>
    <row r="338">
      <c r="A338" s="60"/>
    </row>
    <row r="339">
      <c r="A339" s="60"/>
    </row>
    <row r="340">
      <c r="A340" s="60"/>
    </row>
    <row r="341">
      <c r="A341" s="60"/>
    </row>
    <row r="342">
      <c r="A342" s="60"/>
    </row>
    <row r="343">
      <c r="A343" s="60"/>
    </row>
    <row r="344">
      <c r="A344" s="60"/>
    </row>
    <row r="345">
      <c r="A345" s="60"/>
    </row>
    <row r="346">
      <c r="A346" s="60"/>
    </row>
    <row r="347">
      <c r="A347" s="60"/>
    </row>
    <row r="348">
      <c r="A348" s="60"/>
    </row>
    <row r="349">
      <c r="A349" s="60"/>
    </row>
    <row r="350">
      <c r="A350" s="60"/>
    </row>
    <row r="351">
      <c r="A351" s="60"/>
    </row>
    <row r="352">
      <c r="A352" s="60"/>
    </row>
    <row r="353">
      <c r="A353" s="60"/>
    </row>
    <row r="354">
      <c r="A354" s="60"/>
    </row>
    <row r="355">
      <c r="A355" s="60"/>
    </row>
    <row r="356">
      <c r="A356" s="60"/>
    </row>
    <row r="357">
      <c r="A357" s="60"/>
    </row>
    <row r="358">
      <c r="A358" s="60"/>
    </row>
    <row r="359">
      <c r="A359" s="60"/>
    </row>
    <row r="360">
      <c r="A360" s="60"/>
    </row>
    <row r="361">
      <c r="A361" s="60"/>
    </row>
    <row r="362">
      <c r="A362" s="60"/>
    </row>
    <row r="363">
      <c r="A363" s="60"/>
    </row>
    <row r="364">
      <c r="A364" s="60"/>
    </row>
    <row r="365">
      <c r="A365" s="60"/>
    </row>
    <row r="366">
      <c r="A366" s="60"/>
    </row>
    <row r="367">
      <c r="A367" s="60"/>
    </row>
    <row r="368">
      <c r="A368" s="60"/>
    </row>
    <row r="369">
      <c r="A369" s="60"/>
    </row>
    <row r="370">
      <c r="A370" s="60"/>
    </row>
    <row r="371">
      <c r="A371" s="60"/>
    </row>
    <row r="372">
      <c r="A372" s="60"/>
    </row>
    <row r="373">
      <c r="A373" s="60"/>
    </row>
    <row r="374">
      <c r="A374" s="60"/>
    </row>
    <row r="375">
      <c r="A375" s="60"/>
    </row>
    <row r="376">
      <c r="A376" s="60"/>
    </row>
    <row r="377">
      <c r="A377" s="60"/>
    </row>
    <row r="378">
      <c r="A378" s="60"/>
    </row>
    <row r="379">
      <c r="A379" s="60"/>
    </row>
    <row r="380">
      <c r="A380" s="60"/>
    </row>
    <row r="381">
      <c r="A381" s="60"/>
    </row>
    <row r="382">
      <c r="A382" s="60"/>
    </row>
    <row r="383">
      <c r="A383" s="60"/>
    </row>
    <row r="384">
      <c r="A384" s="60"/>
    </row>
    <row r="385">
      <c r="A385" s="60"/>
    </row>
    <row r="386">
      <c r="A386" s="60"/>
    </row>
    <row r="387">
      <c r="A387" s="60"/>
    </row>
    <row r="388">
      <c r="A388" s="60"/>
    </row>
    <row r="389">
      <c r="A389" s="60"/>
    </row>
    <row r="390">
      <c r="A390" s="60"/>
    </row>
    <row r="391">
      <c r="A391" s="60"/>
    </row>
    <row r="392">
      <c r="A392" s="60"/>
    </row>
    <row r="393">
      <c r="A393" s="60"/>
    </row>
    <row r="394">
      <c r="A394" s="60"/>
    </row>
    <row r="395">
      <c r="A395" s="60"/>
    </row>
    <row r="396">
      <c r="A396" s="60"/>
    </row>
    <row r="397">
      <c r="A397" s="60"/>
    </row>
    <row r="398">
      <c r="A398" s="60"/>
    </row>
    <row r="399">
      <c r="A399" s="60"/>
    </row>
    <row r="400">
      <c r="A400" s="60"/>
    </row>
    <row r="401">
      <c r="A401" s="60"/>
    </row>
    <row r="402">
      <c r="A402" s="60"/>
    </row>
    <row r="403">
      <c r="A403" s="60"/>
    </row>
    <row r="404">
      <c r="A404" s="60"/>
    </row>
    <row r="405">
      <c r="A405" s="60"/>
    </row>
    <row r="406">
      <c r="A406" s="60"/>
    </row>
    <row r="407">
      <c r="A407" s="60"/>
    </row>
    <row r="408">
      <c r="A408" s="60"/>
    </row>
    <row r="409">
      <c r="A409" s="60"/>
    </row>
    <row r="410">
      <c r="A410" s="60"/>
    </row>
    <row r="411">
      <c r="A411" s="60"/>
    </row>
    <row r="412">
      <c r="A412" s="60"/>
    </row>
    <row r="413">
      <c r="A413" s="60"/>
    </row>
    <row r="414">
      <c r="A414" s="60"/>
    </row>
    <row r="415">
      <c r="A415" s="60"/>
    </row>
    <row r="416">
      <c r="A416" s="60"/>
    </row>
    <row r="417">
      <c r="A417" s="60"/>
    </row>
    <row r="418">
      <c r="A418" s="60"/>
    </row>
    <row r="419">
      <c r="A419" s="60"/>
    </row>
    <row r="420">
      <c r="A420" s="60"/>
    </row>
    <row r="421">
      <c r="A421" s="60"/>
    </row>
    <row r="422">
      <c r="A422" s="60"/>
    </row>
    <row r="423">
      <c r="A423" s="60"/>
    </row>
    <row r="424">
      <c r="A424" s="60"/>
    </row>
    <row r="425">
      <c r="A425" s="60"/>
    </row>
    <row r="426">
      <c r="A426" s="60"/>
    </row>
    <row r="427">
      <c r="A427" s="60"/>
    </row>
    <row r="428">
      <c r="A428" s="60"/>
    </row>
    <row r="429">
      <c r="A429" s="60"/>
    </row>
    <row r="430">
      <c r="A430" s="60"/>
    </row>
    <row r="431">
      <c r="A431" s="60"/>
    </row>
    <row r="432">
      <c r="A432" s="60"/>
    </row>
    <row r="433">
      <c r="A433" s="60"/>
    </row>
    <row r="434">
      <c r="A434" s="60"/>
    </row>
    <row r="435">
      <c r="A435" s="60"/>
    </row>
    <row r="436">
      <c r="A436" s="60"/>
    </row>
    <row r="437">
      <c r="A437" s="60"/>
    </row>
    <row r="438">
      <c r="A438" s="60"/>
    </row>
    <row r="439">
      <c r="A439" s="60"/>
    </row>
    <row r="440">
      <c r="A440" s="60"/>
    </row>
    <row r="441">
      <c r="A441" s="60"/>
    </row>
    <row r="442">
      <c r="A442" s="60"/>
    </row>
    <row r="443">
      <c r="A443" s="60"/>
    </row>
    <row r="444">
      <c r="A444" s="60"/>
    </row>
    <row r="445">
      <c r="A445" s="60"/>
    </row>
    <row r="446">
      <c r="A446" s="60"/>
    </row>
    <row r="447">
      <c r="A447" s="60"/>
    </row>
    <row r="448">
      <c r="A448" s="60"/>
    </row>
    <row r="449">
      <c r="A449" s="60"/>
    </row>
    <row r="450">
      <c r="A450" s="60"/>
    </row>
    <row r="451">
      <c r="A451" s="60"/>
    </row>
    <row r="452">
      <c r="A452" s="60"/>
    </row>
    <row r="453">
      <c r="A453" s="60"/>
    </row>
    <row r="454">
      <c r="A454" s="60"/>
    </row>
    <row r="455">
      <c r="A455" s="60"/>
    </row>
    <row r="456">
      <c r="A456" s="60"/>
    </row>
    <row r="457">
      <c r="A457" s="60"/>
    </row>
    <row r="458">
      <c r="A458" s="60"/>
    </row>
    <row r="459">
      <c r="A459" s="60"/>
    </row>
    <row r="460">
      <c r="A460" s="60"/>
    </row>
    <row r="461">
      <c r="A461" s="60"/>
    </row>
    <row r="462">
      <c r="A462" s="60"/>
    </row>
    <row r="463">
      <c r="A463" s="60"/>
    </row>
    <row r="464">
      <c r="A464" s="60"/>
    </row>
    <row r="465">
      <c r="A465" s="60"/>
    </row>
    <row r="466">
      <c r="A466" s="60"/>
    </row>
    <row r="467">
      <c r="A467" s="60"/>
    </row>
    <row r="468">
      <c r="A468" s="60"/>
    </row>
    <row r="469">
      <c r="A469" s="60"/>
    </row>
    <row r="470">
      <c r="A470" s="60"/>
    </row>
    <row r="471">
      <c r="A471" s="60"/>
    </row>
    <row r="472">
      <c r="A472" s="60"/>
    </row>
    <row r="473">
      <c r="A473" s="60"/>
    </row>
    <row r="474">
      <c r="A474" s="60"/>
    </row>
    <row r="475">
      <c r="A475" s="60"/>
    </row>
    <row r="476">
      <c r="A476" s="60"/>
    </row>
    <row r="477">
      <c r="A477" s="60"/>
    </row>
    <row r="478">
      <c r="A478" s="60"/>
    </row>
    <row r="479">
      <c r="A479" s="60"/>
    </row>
    <row r="480">
      <c r="A480" s="60"/>
    </row>
    <row r="481">
      <c r="A481" s="60"/>
    </row>
    <row r="482">
      <c r="A482" s="60"/>
    </row>
    <row r="483">
      <c r="A483" s="60"/>
    </row>
    <row r="484">
      <c r="A484" s="60"/>
    </row>
    <row r="485">
      <c r="A485" s="60"/>
    </row>
    <row r="486">
      <c r="A486" s="60"/>
    </row>
    <row r="487">
      <c r="A487" s="60"/>
    </row>
    <row r="488">
      <c r="A488" s="60"/>
    </row>
    <row r="489">
      <c r="A489" s="60"/>
    </row>
    <row r="490">
      <c r="A490" s="60"/>
    </row>
    <row r="491">
      <c r="A491" s="60"/>
    </row>
    <row r="492">
      <c r="A492" s="60"/>
    </row>
    <row r="493">
      <c r="A493" s="60"/>
    </row>
    <row r="494">
      <c r="A494" s="60"/>
    </row>
    <row r="495">
      <c r="A495" s="60"/>
    </row>
    <row r="496">
      <c r="A496" s="60"/>
    </row>
    <row r="497">
      <c r="A497" s="60"/>
    </row>
    <row r="498">
      <c r="A498" s="60"/>
    </row>
    <row r="499">
      <c r="A499" s="60"/>
    </row>
    <row r="500">
      <c r="A500" s="60"/>
    </row>
    <row r="501">
      <c r="A501" s="60"/>
    </row>
    <row r="502">
      <c r="A502" s="60"/>
    </row>
    <row r="503">
      <c r="A503" s="60"/>
    </row>
    <row r="504">
      <c r="A504" s="60"/>
    </row>
    <row r="505">
      <c r="A505" s="60"/>
    </row>
    <row r="506">
      <c r="A506" s="60"/>
    </row>
    <row r="507">
      <c r="A507" s="60"/>
    </row>
    <row r="508">
      <c r="A508" s="60"/>
    </row>
    <row r="509">
      <c r="A509" s="60"/>
    </row>
    <row r="510">
      <c r="A510" s="60"/>
    </row>
    <row r="511">
      <c r="A511" s="60"/>
    </row>
    <row r="512">
      <c r="A512" s="60"/>
    </row>
    <row r="513">
      <c r="A513" s="60"/>
    </row>
    <row r="514">
      <c r="A514" s="60"/>
    </row>
    <row r="515">
      <c r="A515" s="60"/>
    </row>
    <row r="516">
      <c r="A516" s="60"/>
    </row>
    <row r="517">
      <c r="A517" s="60"/>
    </row>
    <row r="518">
      <c r="A518" s="60"/>
    </row>
    <row r="519">
      <c r="A519" s="60"/>
    </row>
    <row r="520">
      <c r="A520" s="60"/>
    </row>
    <row r="521">
      <c r="A521" s="60"/>
    </row>
    <row r="522">
      <c r="A522" s="60"/>
    </row>
    <row r="523">
      <c r="A523" s="60"/>
    </row>
    <row r="524">
      <c r="A524" s="60"/>
    </row>
    <row r="525">
      <c r="A525" s="60"/>
    </row>
    <row r="526">
      <c r="A526" s="60"/>
    </row>
    <row r="527">
      <c r="A527" s="60"/>
    </row>
    <row r="528">
      <c r="A528" s="60"/>
    </row>
    <row r="529">
      <c r="A529" s="60"/>
    </row>
    <row r="530">
      <c r="A530" s="60"/>
    </row>
    <row r="531">
      <c r="A531" s="60"/>
    </row>
    <row r="532">
      <c r="A532" s="60"/>
    </row>
    <row r="533">
      <c r="A533" s="60"/>
    </row>
    <row r="534">
      <c r="A534" s="60"/>
    </row>
    <row r="535">
      <c r="A535" s="60"/>
    </row>
    <row r="536">
      <c r="A536" s="60"/>
    </row>
    <row r="537">
      <c r="A537" s="60"/>
    </row>
    <row r="538">
      <c r="A538" s="60"/>
    </row>
    <row r="539">
      <c r="A539" s="60"/>
    </row>
    <row r="540">
      <c r="A540" s="60"/>
    </row>
    <row r="541">
      <c r="A541" s="60"/>
    </row>
    <row r="542">
      <c r="A542" s="60"/>
    </row>
    <row r="543">
      <c r="A543" s="60"/>
    </row>
    <row r="544">
      <c r="A544" s="60"/>
    </row>
    <row r="545">
      <c r="A545" s="60"/>
    </row>
    <row r="546">
      <c r="A546" s="60"/>
    </row>
    <row r="547">
      <c r="A547" s="60"/>
    </row>
    <row r="548">
      <c r="A548" s="60"/>
    </row>
    <row r="549">
      <c r="A549" s="60"/>
    </row>
    <row r="550">
      <c r="A550" s="60"/>
    </row>
    <row r="551">
      <c r="A551" s="60"/>
    </row>
    <row r="552">
      <c r="A552" s="60"/>
    </row>
    <row r="553">
      <c r="A553" s="60"/>
    </row>
    <row r="554">
      <c r="A554" s="60"/>
    </row>
    <row r="555">
      <c r="A555" s="60"/>
    </row>
    <row r="556">
      <c r="A556" s="60"/>
    </row>
    <row r="557">
      <c r="A557" s="60"/>
    </row>
    <row r="558">
      <c r="A558" s="60"/>
    </row>
    <row r="559">
      <c r="A559" s="60"/>
    </row>
    <row r="560">
      <c r="A560" s="60"/>
    </row>
    <row r="561">
      <c r="A561" s="60"/>
    </row>
    <row r="562">
      <c r="A562" s="60"/>
    </row>
    <row r="563">
      <c r="A563" s="60"/>
    </row>
    <row r="564">
      <c r="A564" s="60"/>
    </row>
    <row r="565">
      <c r="A565" s="60"/>
    </row>
    <row r="566">
      <c r="A566" s="60"/>
    </row>
    <row r="567">
      <c r="A567" s="60"/>
    </row>
    <row r="568">
      <c r="A568" s="60"/>
    </row>
    <row r="569">
      <c r="A569" s="60"/>
    </row>
    <row r="570">
      <c r="A570" s="60"/>
    </row>
    <row r="571">
      <c r="A571" s="60"/>
    </row>
    <row r="572">
      <c r="A572" s="60"/>
    </row>
    <row r="573">
      <c r="A573" s="60"/>
    </row>
    <row r="574">
      <c r="A574" s="60"/>
    </row>
    <row r="575">
      <c r="A575" s="60"/>
    </row>
    <row r="576">
      <c r="A576" s="60"/>
    </row>
    <row r="577">
      <c r="A577" s="60"/>
    </row>
    <row r="578">
      <c r="A578" s="60"/>
    </row>
    <row r="579">
      <c r="A579" s="60"/>
    </row>
    <row r="580">
      <c r="A580" s="60"/>
    </row>
    <row r="581">
      <c r="A581" s="60"/>
    </row>
    <row r="582">
      <c r="A582" s="60"/>
    </row>
    <row r="583">
      <c r="A583" s="60"/>
    </row>
    <row r="584">
      <c r="A584" s="60"/>
    </row>
    <row r="585">
      <c r="A585" s="60"/>
    </row>
    <row r="586">
      <c r="A586" s="60"/>
    </row>
    <row r="587">
      <c r="A587" s="60"/>
    </row>
    <row r="588">
      <c r="A588" s="60"/>
    </row>
    <row r="589">
      <c r="A589" s="60"/>
    </row>
    <row r="590">
      <c r="A590" s="60"/>
    </row>
    <row r="591">
      <c r="A591" s="60"/>
    </row>
    <row r="592">
      <c r="A592" s="60"/>
    </row>
    <row r="593">
      <c r="A593" s="60"/>
    </row>
    <row r="594">
      <c r="A594" s="60"/>
    </row>
    <row r="595">
      <c r="A595" s="60"/>
    </row>
    <row r="596">
      <c r="A596" s="60"/>
    </row>
    <row r="597">
      <c r="A597" s="60"/>
    </row>
    <row r="598">
      <c r="A598" s="60"/>
    </row>
    <row r="599">
      <c r="A599" s="60"/>
    </row>
    <row r="600">
      <c r="A600" s="60"/>
    </row>
    <row r="601">
      <c r="A601" s="60"/>
    </row>
    <row r="602">
      <c r="A602" s="60"/>
    </row>
    <row r="603">
      <c r="A603" s="60"/>
    </row>
    <row r="604">
      <c r="A604" s="60"/>
    </row>
    <row r="605">
      <c r="A605" s="60"/>
    </row>
    <row r="606">
      <c r="A606" s="60"/>
    </row>
    <row r="607">
      <c r="A607" s="60"/>
    </row>
    <row r="608">
      <c r="A608" s="60"/>
    </row>
    <row r="609">
      <c r="A609" s="60"/>
    </row>
    <row r="610">
      <c r="A610" s="60"/>
    </row>
    <row r="611">
      <c r="A611" s="60"/>
    </row>
    <row r="612">
      <c r="A612" s="60"/>
    </row>
    <row r="613">
      <c r="A613" s="60"/>
    </row>
    <row r="614">
      <c r="A614" s="60"/>
    </row>
    <row r="615">
      <c r="A615" s="60"/>
    </row>
    <row r="616">
      <c r="A616" s="60"/>
    </row>
    <row r="617">
      <c r="A617" s="60"/>
    </row>
    <row r="618">
      <c r="A618" s="60"/>
    </row>
    <row r="619">
      <c r="A619" s="60"/>
    </row>
    <row r="620">
      <c r="A620" s="60"/>
    </row>
    <row r="621">
      <c r="A621" s="60"/>
    </row>
    <row r="622">
      <c r="A622" s="60"/>
    </row>
    <row r="623">
      <c r="A623" s="60"/>
    </row>
    <row r="624">
      <c r="A624" s="60"/>
    </row>
    <row r="625">
      <c r="A625" s="60"/>
    </row>
    <row r="626">
      <c r="A626" s="60"/>
    </row>
    <row r="627">
      <c r="A627" s="60"/>
    </row>
    <row r="628">
      <c r="A628" s="60"/>
    </row>
    <row r="629">
      <c r="A629" s="60"/>
    </row>
    <row r="630">
      <c r="A630" s="60"/>
    </row>
    <row r="631">
      <c r="A631" s="60"/>
    </row>
    <row r="632">
      <c r="A632" s="60"/>
    </row>
    <row r="633">
      <c r="A633" s="60"/>
    </row>
    <row r="634">
      <c r="A634" s="60"/>
    </row>
    <row r="635">
      <c r="A635" s="60"/>
    </row>
    <row r="636">
      <c r="A636" s="60"/>
    </row>
    <row r="637">
      <c r="A637" s="60"/>
    </row>
    <row r="638">
      <c r="A638" s="60"/>
    </row>
    <row r="639">
      <c r="A639" s="60"/>
    </row>
    <row r="640">
      <c r="A640" s="60"/>
    </row>
    <row r="641">
      <c r="A641" s="60"/>
    </row>
    <row r="642">
      <c r="A642" s="60"/>
    </row>
    <row r="643">
      <c r="A643" s="60"/>
    </row>
    <row r="644">
      <c r="A644" s="60"/>
    </row>
    <row r="645">
      <c r="A645" s="60"/>
    </row>
    <row r="646">
      <c r="A646" s="60"/>
    </row>
    <row r="647">
      <c r="A647" s="60"/>
    </row>
    <row r="648">
      <c r="A648" s="60"/>
    </row>
    <row r="649">
      <c r="A649" s="60"/>
    </row>
    <row r="650">
      <c r="A650" s="60"/>
    </row>
    <row r="651">
      <c r="A651" s="60"/>
    </row>
    <row r="652">
      <c r="A652" s="60"/>
    </row>
    <row r="653">
      <c r="A653" s="60"/>
    </row>
    <row r="654">
      <c r="A654" s="60"/>
    </row>
    <row r="655">
      <c r="A655" s="60"/>
    </row>
    <row r="656">
      <c r="A656" s="60"/>
    </row>
    <row r="657">
      <c r="A657" s="60"/>
    </row>
    <row r="658">
      <c r="A658" s="60"/>
    </row>
    <row r="659">
      <c r="A659" s="60"/>
    </row>
    <row r="660">
      <c r="A660" s="60"/>
    </row>
    <row r="661">
      <c r="A661" s="60"/>
    </row>
    <row r="662">
      <c r="A662" s="60"/>
    </row>
    <row r="663">
      <c r="A663" s="60"/>
    </row>
    <row r="664">
      <c r="A664" s="60"/>
    </row>
    <row r="665">
      <c r="A665" s="60"/>
    </row>
    <row r="666">
      <c r="A666" s="60"/>
    </row>
    <row r="667">
      <c r="A667" s="60"/>
    </row>
    <row r="668">
      <c r="A668" s="60"/>
    </row>
    <row r="669">
      <c r="A669" s="60"/>
    </row>
    <row r="670">
      <c r="A670" s="60"/>
    </row>
    <row r="671">
      <c r="A671" s="60"/>
    </row>
    <row r="672">
      <c r="A672" s="60"/>
    </row>
    <row r="673">
      <c r="A673" s="60"/>
    </row>
    <row r="674">
      <c r="A674" s="60"/>
    </row>
    <row r="675">
      <c r="A675" s="60"/>
    </row>
    <row r="676">
      <c r="A676" s="60"/>
    </row>
    <row r="677">
      <c r="A677" s="60"/>
    </row>
    <row r="678">
      <c r="A678" s="60"/>
    </row>
    <row r="679">
      <c r="A679" s="60"/>
    </row>
    <row r="680">
      <c r="A680" s="60"/>
    </row>
    <row r="681">
      <c r="A681" s="60"/>
    </row>
    <row r="682">
      <c r="A682" s="60"/>
    </row>
    <row r="683">
      <c r="A683" s="60"/>
    </row>
    <row r="684">
      <c r="A684" s="60"/>
    </row>
    <row r="685">
      <c r="A685" s="60"/>
    </row>
    <row r="686">
      <c r="A686" s="60"/>
    </row>
    <row r="687">
      <c r="A687" s="60"/>
    </row>
    <row r="688">
      <c r="A688" s="60"/>
    </row>
    <row r="689">
      <c r="A689" s="60"/>
    </row>
    <row r="690">
      <c r="A690" s="60"/>
    </row>
    <row r="691">
      <c r="A691" s="60"/>
    </row>
    <row r="692">
      <c r="A692" s="60"/>
    </row>
    <row r="693">
      <c r="A693" s="60"/>
    </row>
    <row r="694">
      <c r="A694" s="60"/>
    </row>
    <row r="695">
      <c r="A695" s="60"/>
    </row>
    <row r="696">
      <c r="A696" s="60"/>
    </row>
    <row r="697">
      <c r="A697" s="60"/>
    </row>
    <row r="698">
      <c r="A698" s="60"/>
    </row>
    <row r="699">
      <c r="A699" s="60"/>
    </row>
    <row r="700">
      <c r="A700" s="60"/>
    </row>
    <row r="701">
      <c r="A701" s="60"/>
    </row>
    <row r="702">
      <c r="A702" s="60"/>
    </row>
    <row r="703">
      <c r="A703" s="60"/>
    </row>
    <row r="704">
      <c r="A704" s="60"/>
    </row>
    <row r="705">
      <c r="A705" s="60"/>
    </row>
    <row r="706">
      <c r="A706" s="60"/>
    </row>
    <row r="707">
      <c r="A707" s="60"/>
    </row>
    <row r="708">
      <c r="A708" s="60"/>
    </row>
    <row r="709">
      <c r="A709" s="60"/>
    </row>
    <row r="710">
      <c r="A710" s="60"/>
    </row>
    <row r="711">
      <c r="A711" s="60"/>
    </row>
    <row r="712">
      <c r="A712" s="60"/>
    </row>
    <row r="713">
      <c r="A713" s="60"/>
    </row>
    <row r="714">
      <c r="A714" s="60"/>
    </row>
    <row r="715">
      <c r="A715" s="60"/>
    </row>
    <row r="716">
      <c r="A716" s="60"/>
    </row>
    <row r="717">
      <c r="A717" s="60"/>
    </row>
    <row r="718">
      <c r="A718" s="60"/>
    </row>
    <row r="719">
      <c r="A719" s="60"/>
    </row>
    <row r="720">
      <c r="A720" s="60"/>
    </row>
    <row r="721">
      <c r="A721" s="60"/>
    </row>
    <row r="722">
      <c r="A722" s="60"/>
    </row>
    <row r="723">
      <c r="A723" s="60"/>
    </row>
    <row r="724">
      <c r="A724" s="60"/>
    </row>
    <row r="725">
      <c r="A725" s="60"/>
    </row>
    <row r="726">
      <c r="A726" s="60"/>
    </row>
    <row r="727">
      <c r="A727" s="60"/>
    </row>
    <row r="728">
      <c r="A728" s="60"/>
    </row>
    <row r="729">
      <c r="A729" s="60"/>
    </row>
    <row r="730">
      <c r="A730" s="60"/>
    </row>
    <row r="731">
      <c r="A731" s="60"/>
    </row>
    <row r="732">
      <c r="A732" s="60"/>
    </row>
    <row r="733">
      <c r="A733" s="60"/>
    </row>
    <row r="734">
      <c r="A734" s="60"/>
    </row>
    <row r="735">
      <c r="A735" s="60"/>
    </row>
    <row r="736">
      <c r="A736" s="60"/>
    </row>
    <row r="737">
      <c r="A737" s="60"/>
    </row>
    <row r="738">
      <c r="A738" s="60"/>
    </row>
    <row r="739">
      <c r="A739" s="60"/>
    </row>
    <row r="740">
      <c r="A740" s="60"/>
    </row>
    <row r="741">
      <c r="A741" s="60"/>
    </row>
    <row r="742">
      <c r="A742" s="60"/>
    </row>
    <row r="743">
      <c r="A743" s="60"/>
    </row>
    <row r="744">
      <c r="A744" s="60"/>
    </row>
    <row r="745">
      <c r="A745" s="60"/>
    </row>
    <row r="746">
      <c r="A746" s="60"/>
    </row>
    <row r="747">
      <c r="A747" s="60"/>
    </row>
    <row r="748">
      <c r="A748" s="60"/>
    </row>
    <row r="749">
      <c r="A749" s="60"/>
    </row>
    <row r="750">
      <c r="A750" s="60"/>
    </row>
    <row r="751">
      <c r="A751" s="60"/>
    </row>
    <row r="752">
      <c r="A752" s="60"/>
    </row>
    <row r="753">
      <c r="A753" s="60"/>
    </row>
    <row r="754">
      <c r="A754" s="60"/>
    </row>
    <row r="755">
      <c r="A755" s="60"/>
    </row>
    <row r="756">
      <c r="A756" s="60"/>
    </row>
    <row r="757">
      <c r="A757" s="60"/>
    </row>
    <row r="758">
      <c r="A758" s="60"/>
    </row>
    <row r="759">
      <c r="A759" s="60"/>
    </row>
    <row r="760">
      <c r="A760" s="60"/>
    </row>
    <row r="761">
      <c r="A761" s="60"/>
    </row>
    <row r="762">
      <c r="A762" s="60"/>
    </row>
    <row r="763">
      <c r="A763" s="60"/>
    </row>
    <row r="764">
      <c r="A764" s="60"/>
    </row>
    <row r="765">
      <c r="A765" s="60"/>
    </row>
    <row r="766">
      <c r="A766" s="60"/>
    </row>
    <row r="767">
      <c r="A767" s="60"/>
    </row>
    <row r="768">
      <c r="A768" s="60"/>
    </row>
    <row r="769">
      <c r="A769" s="60"/>
    </row>
    <row r="770">
      <c r="A770" s="60"/>
    </row>
    <row r="771">
      <c r="A771" s="60"/>
    </row>
    <row r="772">
      <c r="A772" s="60"/>
    </row>
    <row r="773">
      <c r="A773" s="60"/>
    </row>
    <row r="774">
      <c r="A774" s="60"/>
    </row>
    <row r="775">
      <c r="A775" s="60"/>
    </row>
    <row r="776">
      <c r="A776" s="60"/>
    </row>
    <row r="777">
      <c r="A777" s="60"/>
    </row>
    <row r="778">
      <c r="A778" s="60"/>
    </row>
    <row r="779">
      <c r="A779" s="60"/>
    </row>
    <row r="780">
      <c r="A780" s="60"/>
    </row>
    <row r="781">
      <c r="A781" s="60"/>
    </row>
    <row r="782">
      <c r="A782" s="60"/>
    </row>
    <row r="783">
      <c r="A783" s="60"/>
    </row>
    <row r="784">
      <c r="A784" s="60"/>
    </row>
    <row r="785">
      <c r="A785" s="60"/>
    </row>
    <row r="786">
      <c r="A786" s="60"/>
    </row>
    <row r="787">
      <c r="A787" s="60"/>
    </row>
    <row r="788">
      <c r="A788" s="60"/>
    </row>
    <row r="789">
      <c r="A789" s="60"/>
    </row>
    <row r="790">
      <c r="A790" s="60"/>
    </row>
    <row r="791">
      <c r="A791" s="60"/>
    </row>
    <row r="792">
      <c r="A792" s="60"/>
    </row>
    <row r="793">
      <c r="A793" s="60"/>
    </row>
    <row r="794">
      <c r="A794" s="60"/>
    </row>
    <row r="795">
      <c r="A795" s="60"/>
    </row>
    <row r="796">
      <c r="A796" s="60"/>
    </row>
    <row r="797">
      <c r="A797" s="60"/>
    </row>
    <row r="798">
      <c r="A798" s="60"/>
    </row>
    <row r="799">
      <c r="A799" s="60"/>
    </row>
    <row r="800">
      <c r="A800" s="60"/>
    </row>
    <row r="801">
      <c r="A801" s="60"/>
    </row>
    <row r="802">
      <c r="A802" s="60"/>
    </row>
    <row r="803">
      <c r="A803" s="60"/>
    </row>
    <row r="804">
      <c r="A804" s="60"/>
    </row>
    <row r="805">
      <c r="A805" s="60"/>
    </row>
    <row r="806">
      <c r="A806" s="60"/>
    </row>
    <row r="807">
      <c r="A807" s="60"/>
    </row>
    <row r="808">
      <c r="A808" s="60"/>
    </row>
    <row r="809">
      <c r="A809" s="60"/>
    </row>
    <row r="810">
      <c r="A810" s="60"/>
    </row>
    <row r="811">
      <c r="A811" s="60"/>
    </row>
    <row r="812">
      <c r="A812" s="60"/>
    </row>
    <row r="813">
      <c r="A813" s="60"/>
    </row>
    <row r="814">
      <c r="A814" s="60"/>
    </row>
    <row r="815">
      <c r="A815" s="60"/>
    </row>
    <row r="816">
      <c r="A816" s="60"/>
    </row>
    <row r="817">
      <c r="A817" s="60"/>
    </row>
    <row r="818">
      <c r="A818" s="60"/>
    </row>
    <row r="819">
      <c r="A819" s="60"/>
    </row>
    <row r="820">
      <c r="A820" s="60"/>
    </row>
    <row r="821">
      <c r="A821" s="60"/>
    </row>
    <row r="822">
      <c r="A822" s="60"/>
    </row>
    <row r="823">
      <c r="A823" s="60"/>
    </row>
    <row r="824">
      <c r="A824" s="60"/>
    </row>
    <row r="825">
      <c r="A825" s="60"/>
    </row>
    <row r="826">
      <c r="A826" s="60"/>
    </row>
    <row r="827">
      <c r="A827" s="60"/>
    </row>
    <row r="828">
      <c r="A828" s="60"/>
    </row>
    <row r="829">
      <c r="A829" s="60"/>
    </row>
    <row r="830">
      <c r="A830" s="60"/>
    </row>
    <row r="831">
      <c r="A831" s="60"/>
    </row>
    <row r="832">
      <c r="A832" s="60"/>
    </row>
    <row r="833">
      <c r="A833" s="60"/>
    </row>
    <row r="834">
      <c r="A834" s="60"/>
    </row>
    <row r="835">
      <c r="A835" s="60"/>
    </row>
    <row r="836">
      <c r="A836" s="60"/>
    </row>
    <row r="837">
      <c r="A837" s="60"/>
    </row>
    <row r="838">
      <c r="A838" s="60"/>
    </row>
    <row r="839">
      <c r="A839" s="60"/>
    </row>
    <row r="840">
      <c r="A840" s="60"/>
    </row>
    <row r="841">
      <c r="A841" s="60"/>
    </row>
    <row r="842">
      <c r="A842" s="60"/>
    </row>
    <row r="843">
      <c r="A843" s="60"/>
    </row>
    <row r="844">
      <c r="A844" s="60"/>
    </row>
    <row r="845">
      <c r="A845" s="60"/>
    </row>
    <row r="846">
      <c r="A846" s="60"/>
    </row>
  </sheetData>
  <mergeCells count="201">
    <mergeCell ref="B57:C57"/>
    <mergeCell ref="B63:C63"/>
    <mergeCell ref="H63:I63"/>
    <mergeCell ref="J63:K63"/>
    <mergeCell ref="L63:M63"/>
    <mergeCell ref="N63:O63"/>
    <mergeCell ref="D57:E57"/>
    <mergeCell ref="F57:G57"/>
    <mergeCell ref="H57:I57"/>
    <mergeCell ref="J57:K57"/>
    <mergeCell ref="L57:M57"/>
    <mergeCell ref="N57:O57"/>
    <mergeCell ref="B62:O62"/>
    <mergeCell ref="B69:C69"/>
    <mergeCell ref="B75:C75"/>
    <mergeCell ref="H75:I75"/>
    <mergeCell ref="J75:K75"/>
    <mergeCell ref="L75:M75"/>
    <mergeCell ref="N75:O75"/>
    <mergeCell ref="D69:E69"/>
    <mergeCell ref="F69:G69"/>
    <mergeCell ref="H69:I69"/>
    <mergeCell ref="J69:K69"/>
    <mergeCell ref="L69:M69"/>
    <mergeCell ref="N69:O69"/>
    <mergeCell ref="B74:O74"/>
    <mergeCell ref="L76:M76"/>
    <mergeCell ref="N76:O76"/>
    <mergeCell ref="D75:E75"/>
    <mergeCell ref="F75:G75"/>
    <mergeCell ref="B76:C76"/>
    <mergeCell ref="D76:E76"/>
    <mergeCell ref="F76:G76"/>
    <mergeCell ref="H76:I76"/>
    <mergeCell ref="J76:K76"/>
    <mergeCell ref="B81:C81"/>
    <mergeCell ref="B87:C87"/>
    <mergeCell ref="H87:I87"/>
    <mergeCell ref="J87:K87"/>
    <mergeCell ref="L87:M87"/>
    <mergeCell ref="N87:O87"/>
    <mergeCell ref="D81:E81"/>
    <mergeCell ref="F81:G81"/>
    <mergeCell ref="H81:I81"/>
    <mergeCell ref="J81:K81"/>
    <mergeCell ref="L81:M81"/>
    <mergeCell ref="N81:O81"/>
    <mergeCell ref="B86:O86"/>
    <mergeCell ref="L88:M88"/>
    <mergeCell ref="N88:O88"/>
    <mergeCell ref="D87:E87"/>
    <mergeCell ref="F87:G87"/>
    <mergeCell ref="B88:C88"/>
    <mergeCell ref="D88:E88"/>
    <mergeCell ref="F88:G88"/>
    <mergeCell ref="H88:I88"/>
    <mergeCell ref="J88:K88"/>
    <mergeCell ref="B93:C93"/>
    <mergeCell ref="B99:C99"/>
    <mergeCell ref="H99:I99"/>
    <mergeCell ref="J99:K99"/>
    <mergeCell ref="L99:M99"/>
    <mergeCell ref="N99:O99"/>
    <mergeCell ref="D93:E93"/>
    <mergeCell ref="F93:G93"/>
    <mergeCell ref="H93:I93"/>
    <mergeCell ref="J93:K93"/>
    <mergeCell ref="L93:M93"/>
    <mergeCell ref="N93:O93"/>
    <mergeCell ref="B98:O98"/>
    <mergeCell ref="L100:M100"/>
    <mergeCell ref="N100:O100"/>
    <mergeCell ref="D99:E99"/>
    <mergeCell ref="F99:G99"/>
    <mergeCell ref="B100:C100"/>
    <mergeCell ref="D100:E100"/>
    <mergeCell ref="F100:G100"/>
    <mergeCell ref="H100:I100"/>
    <mergeCell ref="J100:K100"/>
    <mergeCell ref="B2:O2"/>
    <mergeCell ref="D3:E3"/>
    <mergeCell ref="F3:G3"/>
    <mergeCell ref="H3:I3"/>
    <mergeCell ref="J3:K3"/>
    <mergeCell ref="L3:M3"/>
    <mergeCell ref="N3:O3"/>
    <mergeCell ref="B3:C3"/>
    <mergeCell ref="D4:E4"/>
    <mergeCell ref="F4:G4"/>
    <mergeCell ref="H4:I4"/>
    <mergeCell ref="J4:K4"/>
    <mergeCell ref="L4:M4"/>
    <mergeCell ref="N4:O4"/>
    <mergeCell ref="B4:C4"/>
    <mergeCell ref="B9:C9"/>
    <mergeCell ref="D9:E9"/>
    <mergeCell ref="F9:G9"/>
    <mergeCell ref="H9:I9"/>
    <mergeCell ref="J9:K9"/>
    <mergeCell ref="L9:M9"/>
    <mergeCell ref="L15:M15"/>
    <mergeCell ref="N15:O15"/>
    <mergeCell ref="N9:O9"/>
    <mergeCell ref="B14:O14"/>
    <mergeCell ref="B15:C15"/>
    <mergeCell ref="D15:E15"/>
    <mergeCell ref="F15:G15"/>
    <mergeCell ref="H15:I15"/>
    <mergeCell ref="J15:K15"/>
    <mergeCell ref="B16:C16"/>
    <mergeCell ref="D16:E16"/>
    <mergeCell ref="F16:G16"/>
    <mergeCell ref="H16:I16"/>
    <mergeCell ref="J16:K16"/>
    <mergeCell ref="L16:M16"/>
    <mergeCell ref="N16:O16"/>
    <mergeCell ref="B109:C109"/>
    <mergeCell ref="D109:E109"/>
    <mergeCell ref="B115:C115"/>
    <mergeCell ref="B105:C105"/>
    <mergeCell ref="D105:E105"/>
    <mergeCell ref="F105:G105"/>
    <mergeCell ref="H105:I105"/>
    <mergeCell ref="J105:K105"/>
    <mergeCell ref="L105:M105"/>
    <mergeCell ref="N105:O105"/>
    <mergeCell ref="B21:C21"/>
    <mergeCell ref="B27:C27"/>
    <mergeCell ref="H27:I27"/>
    <mergeCell ref="J27:K27"/>
    <mergeCell ref="L27:M27"/>
    <mergeCell ref="N27:O27"/>
    <mergeCell ref="D21:E21"/>
    <mergeCell ref="F21:G21"/>
    <mergeCell ref="H21:I21"/>
    <mergeCell ref="J21:K21"/>
    <mergeCell ref="L21:M21"/>
    <mergeCell ref="N21:O21"/>
    <mergeCell ref="B26:O26"/>
    <mergeCell ref="L28:M28"/>
    <mergeCell ref="N28:O28"/>
    <mergeCell ref="D27:E27"/>
    <mergeCell ref="F27:G27"/>
    <mergeCell ref="B28:C28"/>
    <mergeCell ref="D28:E28"/>
    <mergeCell ref="F28:G28"/>
    <mergeCell ref="H28:I28"/>
    <mergeCell ref="J28:K28"/>
    <mergeCell ref="B33:C33"/>
    <mergeCell ref="B39:C39"/>
    <mergeCell ref="H39:I39"/>
    <mergeCell ref="J39:K39"/>
    <mergeCell ref="L39:M39"/>
    <mergeCell ref="N39:O39"/>
    <mergeCell ref="D33:E33"/>
    <mergeCell ref="F33:G33"/>
    <mergeCell ref="H33:I33"/>
    <mergeCell ref="J33:K33"/>
    <mergeCell ref="L33:M33"/>
    <mergeCell ref="N33:O33"/>
    <mergeCell ref="B38:O38"/>
    <mergeCell ref="L40:M40"/>
    <mergeCell ref="N40:O40"/>
    <mergeCell ref="D39:E39"/>
    <mergeCell ref="F39:G39"/>
    <mergeCell ref="B40:C40"/>
    <mergeCell ref="D40:E40"/>
    <mergeCell ref="F40:G40"/>
    <mergeCell ref="H40:I40"/>
    <mergeCell ref="J40:K40"/>
    <mergeCell ref="B45:C45"/>
    <mergeCell ref="B51:C51"/>
    <mergeCell ref="H51:I51"/>
    <mergeCell ref="J51:K51"/>
    <mergeCell ref="L51:M51"/>
    <mergeCell ref="N51:O51"/>
    <mergeCell ref="D45:E45"/>
    <mergeCell ref="F45:G45"/>
    <mergeCell ref="H45:I45"/>
    <mergeCell ref="J45:K45"/>
    <mergeCell ref="L45:M45"/>
    <mergeCell ref="N45:O45"/>
    <mergeCell ref="B50:O50"/>
    <mergeCell ref="L52:M52"/>
    <mergeCell ref="N52:O52"/>
    <mergeCell ref="D51:E51"/>
    <mergeCell ref="F51:G51"/>
    <mergeCell ref="B52:C52"/>
    <mergeCell ref="D52:E52"/>
    <mergeCell ref="F52:G52"/>
    <mergeCell ref="H52:I52"/>
    <mergeCell ref="J52:K52"/>
    <mergeCell ref="L64:M64"/>
    <mergeCell ref="N64:O64"/>
    <mergeCell ref="D63:E63"/>
    <mergeCell ref="F63:G63"/>
    <mergeCell ref="B64:C64"/>
    <mergeCell ref="D64:E64"/>
    <mergeCell ref="F64:G64"/>
    <mergeCell ref="H64:I64"/>
    <mergeCell ref="J64:K64"/>
  </mergeCells>
  <conditionalFormatting sqref="C5:O12 B9">
    <cfRule type="cellIs" dxfId="0" priority="1" operator="greaterThanOrEqual">
      <formula>0</formula>
    </cfRule>
  </conditionalFormatting>
  <conditionalFormatting sqref="C17:O24 B21">
    <cfRule type="cellIs" dxfId="0" priority="2" operator="greaterThanOrEqual">
      <formula>0</formula>
    </cfRule>
  </conditionalFormatting>
  <conditionalFormatting sqref="B26:B28 C26:C112 D26:E113 F26:O109 B33 B37:B40 B45 B49:B52 B57 B61:B64 B69 B73:B76 B81 B85:B88 B93 B97:B100 B105 B109 B115 C115:C118">
    <cfRule type="cellIs" dxfId="0" priority="3" operator="greaterThan">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6" width="9.38"/>
  </cols>
  <sheetData>
    <row r="1">
      <c r="A1" s="4"/>
      <c r="B1" s="5" t="s">
        <v>3</v>
      </c>
      <c r="C1" s="7"/>
      <c r="D1" s="7"/>
      <c r="E1" s="7"/>
      <c r="F1" s="7"/>
    </row>
    <row r="2">
      <c r="A2" s="4"/>
      <c r="B2" s="10" t="s">
        <v>10</v>
      </c>
      <c r="C2" s="13"/>
      <c r="D2" s="13"/>
      <c r="E2" s="13"/>
      <c r="F2" s="13"/>
    </row>
    <row r="3">
      <c r="A3" s="4"/>
      <c r="B3" s="15" t="s">
        <v>15</v>
      </c>
      <c r="C3" s="7"/>
      <c r="D3" s="7"/>
      <c r="E3" s="18" t="s">
        <v>17</v>
      </c>
      <c r="F3" s="7"/>
    </row>
    <row r="4">
      <c r="A4" s="4"/>
      <c r="B4" s="21" t="s">
        <v>22</v>
      </c>
    </row>
    <row r="5">
      <c r="A5" s="4"/>
    </row>
    <row r="6">
      <c r="A6" s="4"/>
      <c r="B6" s="21" t="s">
        <v>27</v>
      </c>
    </row>
    <row r="7">
      <c r="A7" s="4"/>
    </row>
    <row r="8">
      <c r="A8" s="4"/>
    </row>
    <row r="9">
      <c r="A9" s="4"/>
      <c r="B9" s="21" t="s">
        <v>29</v>
      </c>
    </row>
    <row r="10">
      <c r="A10" s="4"/>
    </row>
    <row r="11">
      <c r="A11" s="4"/>
    </row>
    <row r="12">
      <c r="A12" s="4"/>
      <c r="B12" s="7"/>
      <c r="C12" s="7"/>
      <c r="D12" s="7"/>
      <c r="E12" s="7"/>
      <c r="F12" s="7"/>
    </row>
    <row r="13">
      <c r="A13" s="4"/>
      <c r="B13" s="15" t="s">
        <v>32</v>
      </c>
      <c r="C13" s="7"/>
      <c r="D13" s="7"/>
      <c r="E13" s="7"/>
      <c r="F13" s="7"/>
    </row>
    <row r="14">
      <c r="A14" s="4"/>
      <c r="B14" s="21" t="s">
        <v>34</v>
      </c>
    </row>
    <row r="15">
      <c r="A15" s="4"/>
      <c r="B15" s="21" t="s">
        <v>35</v>
      </c>
    </row>
    <row r="16">
      <c r="A16" s="4"/>
      <c r="B16" s="21" t="s">
        <v>36</v>
      </c>
    </row>
    <row r="17">
      <c r="A17" s="4"/>
    </row>
    <row r="18">
      <c r="A18" s="4"/>
      <c r="B18" s="21" t="s">
        <v>39</v>
      </c>
    </row>
    <row r="19">
      <c r="A19" s="4"/>
    </row>
    <row r="20">
      <c r="A20" s="4"/>
    </row>
    <row r="21">
      <c r="A21" s="4"/>
      <c r="B21" s="7"/>
      <c r="C21" s="7"/>
      <c r="D21" s="7"/>
      <c r="E21" s="7"/>
      <c r="F21" s="7"/>
    </row>
    <row r="22">
      <c r="A22" s="4"/>
      <c r="B22" s="15" t="s">
        <v>42</v>
      </c>
      <c r="C22" s="7"/>
      <c r="D22" s="7"/>
      <c r="E22" s="7"/>
      <c r="F22" s="7"/>
    </row>
    <row r="23">
      <c r="A23" s="4"/>
      <c r="B23" s="21" t="s">
        <v>44</v>
      </c>
    </row>
    <row r="24">
      <c r="A24" s="4"/>
    </row>
    <row r="25">
      <c r="A25" s="4"/>
      <c r="B25" s="34" t="s">
        <v>46</v>
      </c>
      <c r="C25" s="7"/>
      <c r="D25" s="34" t="s">
        <v>48</v>
      </c>
      <c r="E25" s="7"/>
      <c r="F25" s="7"/>
    </row>
    <row r="26">
      <c r="A26" s="4"/>
      <c r="B26" s="18" t="s">
        <v>50</v>
      </c>
      <c r="C26" s="7"/>
      <c r="D26" s="18" t="s">
        <v>51</v>
      </c>
      <c r="E26" s="7"/>
      <c r="F26" s="7"/>
    </row>
    <row r="27">
      <c r="A27" s="4"/>
      <c r="B27" s="18" t="s">
        <v>52</v>
      </c>
      <c r="C27" s="7"/>
      <c r="D27" s="18" t="s">
        <v>54</v>
      </c>
      <c r="E27" s="7"/>
      <c r="F27" s="7"/>
    </row>
    <row r="28">
      <c r="A28" s="4"/>
      <c r="B28" s="18" t="s">
        <v>55</v>
      </c>
      <c r="C28" s="7"/>
      <c r="D28" s="18" t="s">
        <v>56</v>
      </c>
      <c r="E28" s="7"/>
      <c r="F28" s="7"/>
    </row>
    <row r="29">
      <c r="A29" s="4"/>
      <c r="B29" s="18" t="s">
        <v>57</v>
      </c>
      <c r="C29" s="7"/>
      <c r="D29" s="7"/>
      <c r="E29" s="7"/>
      <c r="F29" s="7"/>
    </row>
    <row r="30">
      <c r="A30" s="4"/>
      <c r="B30" s="21" t="s">
        <v>59</v>
      </c>
    </row>
    <row r="31">
      <c r="A31" s="4"/>
    </row>
    <row r="32">
      <c r="A32" s="4"/>
      <c r="B32" s="21" t="s">
        <v>61</v>
      </c>
    </row>
    <row r="33">
      <c r="A33" s="4"/>
    </row>
    <row r="34">
      <c r="A34" s="4"/>
      <c r="B34" s="15" t="s">
        <v>62</v>
      </c>
      <c r="C34" s="7"/>
      <c r="D34" s="7"/>
      <c r="E34" s="7"/>
      <c r="F34" s="7"/>
    </row>
    <row r="35">
      <c r="A35" s="4"/>
      <c r="B35" s="21" t="s">
        <v>64</v>
      </c>
    </row>
    <row r="36">
      <c r="A36" s="4"/>
      <c r="B36" s="21" t="s">
        <v>67</v>
      </c>
    </row>
    <row r="37">
      <c r="A37" s="4"/>
      <c r="B37" s="21" t="s">
        <v>69</v>
      </c>
    </row>
    <row r="38">
      <c r="A38" s="4"/>
      <c r="B38" s="21"/>
      <c r="C38" s="21"/>
      <c r="D38" s="21"/>
      <c r="E38" s="21"/>
      <c r="F38" s="21"/>
    </row>
    <row r="39">
      <c r="A39" s="4"/>
      <c r="B39" s="40" t="s">
        <v>72</v>
      </c>
      <c r="F39" s="21"/>
    </row>
    <row r="40">
      <c r="A40" s="4"/>
      <c r="B40" s="21" t="s">
        <v>73</v>
      </c>
    </row>
    <row r="41">
      <c r="A41" s="4"/>
    </row>
    <row r="42">
      <c r="A42" s="4"/>
    </row>
    <row r="43">
      <c r="A43" s="4"/>
    </row>
    <row r="44">
      <c r="A44" s="4"/>
      <c r="B44" s="21" t="s">
        <v>77</v>
      </c>
    </row>
    <row r="45">
      <c r="A45" s="4"/>
    </row>
    <row r="46">
      <c r="A46" s="4"/>
      <c r="B46" s="21" t="s">
        <v>80</v>
      </c>
    </row>
    <row r="47">
      <c r="A47" s="4"/>
    </row>
    <row r="48">
      <c r="A48" s="4"/>
    </row>
    <row r="49">
      <c r="A49" s="4"/>
      <c r="B49" s="21" t="s">
        <v>82</v>
      </c>
    </row>
    <row r="50">
      <c r="A50" s="4"/>
    </row>
    <row r="51">
      <c r="A51" s="4"/>
    </row>
    <row r="52">
      <c r="A52" s="4"/>
    </row>
    <row r="53">
      <c r="A53" s="4"/>
    </row>
    <row r="54">
      <c r="A54" s="4"/>
    </row>
    <row r="55">
      <c r="A55" s="4"/>
      <c r="B55" s="21" t="s">
        <v>86</v>
      </c>
    </row>
    <row r="56">
      <c r="A56" s="4"/>
    </row>
    <row r="57">
      <c r="A57" s="4"/>
    </row>
    <row r="58">
      <c r="A58" s="4"/>
    </row>
    <row r="59">
      <c r="A59" s="4"/>
      <c r="B59" s="21" t="s">
        <v>89</v>
      </c>
    </row>
    <row r="60">
      <c r="A60" s="4"/>
    </row>
    <row r="61">
      <c r="A61" s="4"/>
      <c r="B61" s="21" t="s">
        <v>96</v>
      </c>
    </row>
    <row r="62">
      <c r="A62" s="4"/>
      <c r="B62" s="21" t="s">
        <v>99</v>
      </c>
    </row>
    <row r="63">
      <c r="A63" s="4"/>
      <c r="B63" s="48" t="s">
        <v>101</v>
      </c>
      <c r="E63" s="53"/>
      <c r="F63" s="53"/>
    </row>
    <row r="64">
      <c r="A64" s="4"/>
      <c r="B64" s="53" t="s">
        <v>110</v>
      </c>
    </row>
    <row r="65">
      <c r="A65" s="4"/>
    </row>
    <row r="66">
      <c r="A66" s="4"/>
    </row>
    <row r="67">
      <c r="A67" s="4"/>
    </row>
    <row r="68">
      <c r="A68" s="4"/>
    </row>
    <row r="69">
      <c r="A69" s="4"/>
    </row>
    <row r="70">
      <c r="A70" s="4"/>
      <c r="B70" s="53" t="s">
        <v>118</v>
      </c>
    </row>
    <row r="71">
      <c r="A71" s="4"/>
    </row>
    <row r="72">
      <c r="A72" s="4"/>
      <c r="B72" s="53" t="s">
        <v>129</v>
      </c>
    </row>
    <row r="73">
      <c r="A73" s="4"/>
      <c r="B73" s="53" t="s">
        <v>130</v>
      </c>
    </row>
    <row r="74">
      <c r="A74" s="4"/>
      <c r="B74" s="70" t="s">
        <v>132</v>
      </c>
      <c r="C74" s="13"/>
      <c r="D74" s="13"/>
      <c r="E74" s="13"/>
      <c r="F74" s="13"/>
    </row>
    <row r="75">
      <c r="A75" s="4"/>
      <c r="B75" s="53" t="s">
        <v>134</v>
      </c>
    </row>
    <row r="76">
      <c r="A76" s="4"/>
    </row>
    <row r="77">
      <c r="A77" s="4"/>
    </row>
    <row r="78">
      <c r="A78" s="4"/>
    </row>
    <row r="79">
      <c r="A79" s="4"/>
    </row>
    <row r="80">
      <c r="A80" s="4"/>
    </row>
    <row r="81">
      <c r="A81" s="4"/>
      <c r="B81" s="18" t="s">
        <v>138</v>
      </c>
    </row>
    <row r="82">
      <c r="A82" s="4"/>
      <c r="B82" s="21" t="s">
        <v>141</v>
      </c>
    </row>
    <row r="83">
      <c r="A83" s="4"/>
    </row>
    <row r="84">
      <c r="A84" s="4"/>
    </row>
    <row r="85">
      <c r="A85" s="4"/>
    </row>
    <row r="86">
      <c r="A86" s="4"/>
    </row>
    <row r="87">
      <c r="A87" s="4"/>
      <c r="B87" s="74" t="s">
        <v>145</v>
      </c>
    </row>
    <row r="88">
      <c r="A88" s="4"/>
    </row>
    <row r="89">
      <c r="A89" s="4"/>
    </row>
    <row r="90">
      <c r="A90" s="4"/>
      <c r="B90" s="18" t="s">
        <v>146</v>
      </c>
      <c r="C90" s="7"/>
      <c r="D90" s="7"/>
      <c r="E90" s="7"/>
      <c r="F90" s="7"/>
    </row>
    <row r="91">
      <c r="A91" s="4"/>
      <c r="B91" s="21" t="s">
        <v>147</v>
      </c>
    </row>
    <row r="92">
      <c r="A92" s="4"/>
    </row>
    <row r="93">
      <c r="A93" s="4"/>
      <c r="B93" s="21" t="s">
        <v>148</v>
      </c>
    </row>
    <row r="94">
      <c r="A94" s="76"/>
    </row>
    <row r="95">
      <c r="A95" s="76"/>
      <c r="B95" s="74" t="s">
        <v>149</v>
      </c>
      <c r="D95" s="21"/>
      <c r="E95" s="21"/>
      <c r="F95" s="21"/>
    </row>
    <row r="96">
      <c r="A96" s="76"/>
      <c r="B96" s="21" t="s">
        <v>150</v>
      </c>
    </row>
    <row r="97">
      <c r="A97" s="4"/>
    </row>
    <row r="98">
      <c r="A98" s="4"/>
    </row>
    <row r="99">
      <c r="A99" s="7"/>
    </row>
    <row r="100">
      <c r="A100" s="76"/>
      <c r="B100" s="21" t="s">
        <v>151</v>
      </c>
    </row>
    <row r="101">
      <c r="A101" s="76"/>
    </row>
    <row r="102">
      <c r="A102" s="76"/>
      <c r="B102" s="21" t="s">
        <v>152</v>
      </c>
    </row>
    <row r="103">
      <c r="A103" s="4"/>
    </row>
    <row r="104">
      <c r="A104" s="4"/>
      <c r="B104" s="21" t="s">
        <v>153</v>
      </c>
    </row>
    <row r="105">
      <c r="A105" s="4"/>
    </row>
    <row r="106">
      <c r="A106" s="4"/>
      <c r="B106" s="21" t="s">
        <v>154</v>
      </c>
    </row>
    <row r="107">
      <c r="A107" s="4"/>
    </row>
    <row r="108">
      <c r="A108" s="4"/>
      <c r="B108" s="7"/>
      <c r="C108" s="7"/>
      <c r="D108" s="7"/>
      <c r="E108" s="7"/>
      <c r="F108" s="7"/>
    </row>
    <row r="109">
      <c r="A109" s="4"/>
      <c r="B109" s="7"/>
      <c r="C109" s="7"/>
      <c r="D109" s="7"/>
      <c r="E109" s="7"/>
      <c r="F109" s="7"/>
    </row>
    <row r="110">
      <c r="A110" s="4"/>
      <c r="B110" s="7"/>
      <c r="C110" s="7"/>
      <c r="D110" s="7"/>
      <c r="E110" s="7"/>
      <c r="F110" s="7"/>
    </row>
    <row r="111">
      <c r="A111" s="4"/>
      <c r="B111" s="7"/>
      <c r="C111" s="7"/>
      <c r="D111" s="7"/>
      <c r="E111" s="7"/>
      <c r="F111" s="7"/>
    </row>
    <row r="112">
      <c r="A112" s="4"/>
      <c r="B112" s="7"/>
      <c r="C112" s="7"/>
      <c r="D112" s="7"/>
      <c r="E112" s="7"/>
      <c r="F112" s="7"/>
    </row>
    <row r="113">
      <c r="A113" s="4"/>
      <c r="B113" s="7"/>
      <c r="C113" s="7"/>
      <c r="D113" s="7"/>
      <c r="E113" s="7"/>
      <c r="F113" s="7"/>
    </row>
    <row r="114">
      <c r="A114" s="4"/>
      <c r="B114" s="7"/>
      <c r="C114" s="7"/>
      <c r="D114" s="7"/>
      <c r="E114" s="7"/>
      <c r="F114" s="7"/>
    </row>
    <row r="115">
      <c r="A115" s="4"/>
      <c r="B115" s="7"/>
      <c r="C115" s="7"/>
      <c r="D115" s="7"/>
      <c r="E115" s="7"/>
      <c r="F115" s="7"/>
    </row>
    <row r="116">
      <c r="A116" s="4"/>
      <c r="B116" s="7"/>
      <c r="C116" s="7"/>
      <c r="D116" s="7"/>
      <c r="E116" s="7"/>
      <c r="F116" s="7"/>
    </row>
    <row r="117">
      <c r="A117" s="4"/>
      <c r="B117" s="7"/>
      <c r="C117" s="7"/>
      <c r="D117" s="7"/>
      <c r="E117" s="7"/>
      <c r="F117" s="7"/>
    </row>
    <row r="118">
      <c r="A118" s="4"/>
      <c r="B118" s="7"/>
      <c r="C118" s="7"/>
      <c r="D118" s="7"/>
      <c r="E118" s="7"/>
      <c r="F118" s="7"/>
    </row>
    <row r="119">
      <c r="A119" s="4"/>
      <c r="B119" s="7"/>
      <c r="C119" s="7"/>
      <c r="D119" s="7"/>
      <c r="E119" s="7"/>
      <c r="F119" s="7"/>
    </row>
    <row r="120">
      <c r="A120" s="4"/>
      <c r="B120" s="7"/>
      <c r="C120" s="7"/>
      <c r="D120" s="7"/>
      <c r="E120" s="7"/>
      <c r="F120" s="7"/>
    </row>
    <row r="121">
      <c r="A121" s="4"/>
      <c r="B121" s="7"/>
      <c r="C121" s="7"/>
      <c r="D121" s="7"/>
      <c r="E121" s="7"/>
      <c r="F121" s="7"/>
    </row>
    <row r="122">
      <c r="A122" s="4"/>
      <c r="B122" s="7"/>
      <c r="C122" s="7"/>
      <c r="D122" s="7"/>
      <c r="E122" s="7"/>
      <c r="F122" s="7"/>
    </row>
    <row r="123">
      <c r="A123" s="4"/>
      <c r="B123" s="7"/>
      <c r="C123" s="7"/>
      <c r="D123" s="7"/>
      <c r="E123" s="7"/>
      <c r="F123" s="7"/>
    </row>
    <row r="124">
      <c r="A124" s="4"/>
      <c r="B124" s="7"/>
      <c r="C124" s="7"/>
      <c r="D124" s="7"/>
      <c r="E124" s="7"/>
      <c r="F124" s="7"/>
    </row>
    <row r="125">
      <c r="A125" s="4"/>
      <c r="B125" s="7"/>
      <c r="C125" s="7"/>
      <c r="D125" s="7"/>
      <c r="E125" s="7"/>
      <c r="F125" s="7"/>
    </row>
    <row r="126">
      <c r="A126" s="4"/>
      <c r="B126" s="7"/>
      <c r="C126" s="7"/>
      <c r="D126" s="7"/>
      <c r="E126" s="7"/>
      <c r="F126" s="7"/>
    </row>
    <row r="127">
      <c r="A127" s="4"/>
      <c r="B127" s="7"/>
      <c r="C127" s="7"/>
      <c r="D127" s="7"/>
      <c r="E127" s="7"/>
      <c r="F127" s="7"/>
    </row>
    <row r="128">
      <c r="A128" s="4"/>
      <c r="B128" s="7"/>
      <c r="C128" s="7"/>
      <c r="D128" s="7"/>
      <c r="E128" s="7"/>
      <c r="F128" s="7"/>
    </row>
    <row r="129">
      <c r="A129" s="4"/>
      <c r="B129" s="7"/>
      <c r="C129" s="7"/>
      <c r="D129" s="7"/>
      <c r="E129" s="7"/>
      <c r="F129" s="7"/>
    </row>
    <row r="130">
      <c r="A130" s="4"/>
      <c r="B130" s="7"/>
      <c r="C130" s="7"/>
      <c r="D130" s="7"/>
      <c r="E130" s="7"/>
      <c r="F130" s="7"/>
    </row>
    <row r="131">
      <c r="A131" s="4"/>
      <c r="B131" s="7"/>
      <c r="C131" s="7"/>
      <c r="D131" s="7"/>
      <c r="E131" s="7"/>
      <c r="F131" s="7"/>
    </row>
    <row r="132">
      <c r="A132" s="4"/>
      <c r="B132" s="7"/>
      <c r="C132" s="7"/>
      <c r="D132" s="7"/>
      <c r="E132" s="7"/>
      <c r="F132" s="7"/>
    </row>
    <row r="133">
      <c r="A133" s="4"/>
      <c r="B133" s="7"/>
      <c r="C133" s="7"/>
      <c r="D133" s="7"/>
      <c r="E133" s="7"/>
      <c r="F133" s="7"/>
    </row>
    <row r="134">
      <c r="A134" s="4"/>
      <c r="B134" s="7"/>
      <c r="C134" s="7"/>
      <c r="D134" s="7"/>
      <c r="E134" s="7"/>
      <c r="F134" s="7"/>
    </row>
    <row r="135">
      <c r="A135" s="4"/>
      <c r="B135" s="7"/>
      <c r="C135" s="7"/>
      <c r="D135" s="7"/>
      <c r="E135" s="7"/>
      <c r="F135" s="7"/>
    </row>
    <row r="136">
      <c r="A136" s="4"/>
      <c r="B136" s="7"/>
      <c r="C136" s="7"/>
      <c r="D136" s="7"/>
      <c r="E136" s="7"/>
      <c r="F136" s="7"/>
    </row>
    <row r="137">
      <c r="A137" s="4"/>
      <c r="B137" s="7"/>
      <c r="C137" s="7"/>
      <c r="D137" s="7"/>
      <c r="E137" s="7"/>
      <c r="F137" s="7"/>
    </row>
    <row r="138">
      <c r="A138" s="4"/>
      <c r="B138" s="7"/>
      <c r="C138" s="7"/>
      <c r="D138" s="7"/>
      <c r="E138" s="7"/>
      <c r="F138" s="7"/>
    </row>
    <row r="139">
      <c r="A139" s="4"/>
      <c r="B139" s="7"/>
      <c r="C139" s="7"/>
      <c r="D139" s="7"/>
      <c r="E139" s="7"/>
      <c r="F139" s="7"/>
    </row>
    <row r="140">
      <c r="A140" s="4"/>
      <c r="B140" s="7"/>
      <c r="C140" s="7"/>
      <c r="D140" s="7"/>
      <c r="E140" s="7"/>
      <c r="F140" s="7"/>
    </row>
    <row r="141">
      <c r="A141" s="4"/>
      <c r="B141" s="7"/>
      <c r="C141" s="7"/>
      <c r="D141" s="7"/>
      <c r="E141" s="7"/>
      <c r="F141" s="7"/>
    </row>
    <row r="142">
      <c r="A142" s="4"/>
      <c r="B142" s="7"/>
      <c r="C142" s="7"/>
      <c r="D142" s="7"/>
      <c r="E142" s="7"/>
      <c r="F142" s="7"/>
    </row>
    <row r="143">
      <c r="A143" s="4"/>
      <c r="B143" s="7"/>
      <c r="C143" s="7"/>
      <c r="D143" s="7"/>
      <c r="E143" s="7"/>
      <c r="F143" s="7"/>
    </row>
    <row r="144">
      <c r="A144" s="4"/>
      <c r="B144" s="7"/>
      <c r="C144" s="7"/>
      <c r="D144" s="7"/>
      <c r="E144" s="7"/>
      <c r="F144" s="7"/>
    </row>
    <row r="145">
      <c r="A145" s="4"/>
      <c r="B145" s="7"/>
      <c r="C145" s="7"/>
      <c r="D145" s="7"/>
      <c r="E145" s="7"/>
      <c r="F145" s="7"/>
    </row>
    <row r="146">
      <c r="A146" s="4"/>
      <c r="B146" s="7"/>
      <c r="C146" s="7"/>
      <c r="D146" s="7"/>
      <c r="E146" s="7"/>
      <c r="F146" s="7"/>
    </row>
    <row r="147">
      <c r="A147" s="4"/>
      <c r="B147" s="7"/>
      <c r="C147" s="7"/>
      <c r="D147" s="7"/>
      <c r="E147" s="7"/>
      <c r="F147" s="7"/>
    </row>
    <row r="148">
      <c r="A148" s="4"/>
      <c r="B148" s="7"/>
      <c r="C148" s="7"/>
      <c r="D148" s="7"/>
      <c r="E148" s="7"/>
      <c r="F148" s="7"/>
    </row>
    <row r="149">
      <c r="A149" s="4"/>
      <c r="B149" s="7"/>
      <c r="C149" s="7"/>
      <c r="D149" s="7"/>
      <c r="E149" s="7"/>
      <c r="F149" s="7"/>
    </row>
    <row r="150">
      <c r="A150" s="4"/>
      <c r="B150" s="7"/>
      <c r="C150" s="7"/>
      <c r="D150" s="7"/>
      <c r="E150" s="7"/>
      <c r="F150" s="7"/>
    </row>
    <row r="151">
      <c r="A151" s="4"/>
      <c r="B151" s="7"/>
      <c r="C151" s="7"/>
      <c r="D151" s="7"/>
      <c r="E151" s="7"/>
      <c r="F151" s="7"/>
    </row>
    <row r="152">
      <c r="A152" s="4"/>
      <c r="B152" s="7"/>
      <c r="C152" s="7"/>
      <c r="D152" s="7"/>
      <c r="E152" s="7"/>
      <c r="F152" s="7"/>
    </row>
    <row r="153">
      <c r="A153" s="4"/>
      <c r="B153" s="7"/>
      <c r="C153" s="7"/>
      <c r="D153" s="7"/>
      <c r="E153" s="7"/>
      <c r="F153" s="7"/>
    </row>
    <row r="154">
      <c r="A154" s="4"/>
      <c r="B154" s="7"/>
      <c r="C154" s="7"/>
      <c r="D154" s="7"/>
      <c r="E154" s="7"/>
      <c r="F154" s="7"/>
    </row>
    <row r="155">
      <c r="A155" s="4"/>
      <c r="B155" s="7"/>
      <c r="C155" s="7"/>
      <c r="D155" s="7"/>
      <c r="E155" s="7"/>
      <c r="F155" s="7"/>
    </row>
    <row r="156">
      <c r="A156" s="4"/>
      <c r="B156" s="7"/>
      <c r="C156" s="7"/>
      <c r="D156" s="7"/>
      <c r="E156" s="7"/>
      <c r="F156" s="7"/>
    </row>
    <row r="157">
      <c r="A157" s="4"/>
      <c r="B157" s="7"/>
      <c r="C157" s="7"/>
      <c r="D157" s="7"/>
      <c r="E157" s="7"/>
      <c r="F157" s="7"/>
    </row>
    <row r="158">
      <c r="A158" s="4"/>
      <c r="B158" s="7"/>
      <c r="C158" s="7"/>
      <c r="D158" s="7"/>
      <c r="E158" s="7"/>
      <c r="F158" s="7"/>
    </row>
    <row r="159">
      <c r="A159" s="4"/>
      <c r="B159" s="7"/>
      <c r="C159" s="7"/>
      <c r="D159" s="7"/>
      <c r="E159" s="7"/>
      <c r="F159" s="7"/>
    </row>
    <row r="160">
      <c r="A160" s="4"/>
      <c r="B160" s="7"/>
      <c r="C160" s="7"/>
      <c r="D160" s="7"/>
      <c r="E160" s="7"/>
      <c r="F160" s="7"/>
    </row>
    <row r="161">
      <c r="A161" s="4"/>
      <c r="B161" s="7"/>
      <c r="C161" s="7"/>
      <c r="D161" s="7"/>
      <c r="E161" s="7"/>
      <c r="F161" s="7"/>
    </row>
    <row r="162">
      <c r="A162" s="4"/>
      <c r="B162" s="7"/>
      <c r="C162" s="7"/>
      <c r="D162" s="7"/>
      <c r="E162" s="7"/>
      <c r="F162" s="7"/>
    </row>
    <row r="163">
      <c r="A163" s="4"/>
      <c r="B163" s="7"/>
      <c r="C163" s="7"/>
      <c r="D163" s="7"/>
      <c r="E163" s="7"/>
      <c r="F163" s="7"/>
    </row>
    <row r="164">
      <c r="A164" s="4"/>
      <c r="B164" s="7"/>
      <c r="C164" s="7"/>
      <c r="D164" s="7"/>
      <c r="E164" s="7"/>
      <c r="F164" s="7"/>
    </row>
    <row r="165">
      <c r="A165" s="4"/>
      <c r="B165" s="7"/>
      <c r="C165" s="7"/>
      <c r="D165" s="7"/>
      <c r="E165" s="7"/>
      <c r="F165" s="7"/>
    </row>
    <row r="166">
      <c r="A166" s="4"/>
      <c r="B166" s="7"/>
      <c r="C166" s="7"/>
      <c r="D166" s="7"/>
      <c r="E166" s="7"/>
      <c r="F166" s="7"/>
    </row>
    <row r="167">
      <c r="A167" s="4"/>
      <c r="B167" s="7"/>
      <c r="C167" s="7"/>
      <c r="D167" s="7"/>
      <c r="E167" s="7"/>
      <c r="F167" s="7"/>
    </row>
    <row r="168">
      <c r="A168" s="4"/>
      <c r="B168" s="7"/>
      <c r="C168" s="7"/>
      <c r="D168" s="7"/>
      <c r="E168" s="7"/>
      <c r="F168" s="7"/>
    </row>
    <row r="169">
      <c r="A169" s="4"/>
      <c r="B169" s="7"/>
      <c r="C169" s="7"/>
      <c r="D169" s="7"/>
      <c r="E169" s="7"/>
      <c r="F169" s="7"/>
    </row>
    <row r="170">
      <c r="A170" s="4"/>
      <c r="B170" s="7"/>
      <c r="C170" s="7"/>
      <c r="D170" s="7"/>
      <c r="E170" s="7"/>
      <c r="F170" s="7"/>
    </row>
    <row r="171">
      <c r="A171" s="4"/>
      <c r="B171" s="7"/>
      <c r="C171" s="7"/>
      <c r="D171" s="7"/>
      <c r="E171" s="7"/>
      <c r="F171" s="7"/>
    </row>
    <row r="172">
      <c r="A172" s="4"/>
      <c r="B172" s="7"/>
      <c r="C172" s="7"/>
      <c r="D172" s="7"/>
      <c r="E172" s="7"/>
      <c r="F172" s="7"/>
    </row>
    <row r="173">
      <c r="A173" s="4"/>
      <c r="B173" s="7"/>
      <c r="C173" s="7"/>
      <c r="D173" s="7"/>
      <c r="E173" s="7"/>
      <c r="F173" s="7"/>
    </row>
    <row r="174">
      <c r="A174" s="4"/>
      <c r="B174" s="7"/>
      <c r="C174" s="7"/>
      <c r="D174" s="7"/>
      <c r="E174" s="7"/>
      <c r="F174" s="7"/>
    </row>
    <row r="175">
      <c r="A175" s="4"/>
      <c r="B175" s="7"/>
      <c r="C175" s="7"/>
      <c r="D175" s="7"/>
      <c r="E175" s="7"/>
      <c r="F175" s="7"/>
    </row>
    <row r="176">
      <c r="A176" s="4"/>
      <c r="B176" s="7"/>
      <c r="C176" s="7"/>
      <c r="D176" s="7"/>
      <c r="E176" s="7"/>
      <c r="F176" s="7"/>
    </row>
    <row r="177">
      <c r="A177" s="4"/>
      <c r="B177" s="7"/>
      <c r="C177" s="7"/>
      <c r="D177" s="7"/>
      <c r="E177" s="7"/>
      <c r="F177" s="7"/>
    </row>
    <row r="178">
      <c r="A178" s="4"/>
      <c r="B178" s="7"/>
      <c r="C178" s="7"/>
      <c r="D178" s="7"/>
      <c r="E178" s="7"/>
      <c r="F178" s="7"/>
    </row>
    <row r="179">
      <c r="A179" s="4"/>
      <c r="B179" s="7"/>
      <c r="C179" s="7"/>
      <c r="D179" s="7"/>
      <c r="E179" s="7"/>
      <c r="F179" s="7"/>
    </row>
    <row r="180">
      <c r="A180" s="4"/>
      <c r="B180" s="7"/>
      <c r="C180" s="7"/>
      <c r="D180" s="7"/>
      <c r="E180" s="7"/>
      <c r="F180" s="7"/>
    </row>
    <row r="181">
      <c r="A181" s="4"/>
      <c r="B181" s="7"/>
      <c r="C181" s="7"/>
      <c r="D181" s="7"/>
      <c r="E181" s="7"/>
      <c r="F181" s="7"/>
    </row>
    <row r="182">
      <c r="A182" s="4"/>
      <c r="B182" s="7"/>
      <c r="C182" s="7"/>
      <c r="D182" s="7"/>
      <c r="E182" s="7"/>
      <c r="F182" s="7"/>
    </row>
    <row r="183">
      <c r="A183" s="4"/>
      <c r="B183" s="7"/>
      <c r="C183" s="7"/>
      <c r="D183" s="7"/>
      <c r="E183" s="7"/>
      <c r="F183" s="7"/>
    </row>
    <row r="184">
      <c r="A184" s="4"/>
      <c r="B184" s="7"/>
      <c r="C184" s="7"/>
      <c r="D184" s="7"/>
      <c r="E184" s="7"/>
      <c r="F184" s="7"/>
    </row>
    <row r="185">
      <c r="A185" s="4"/>
      <c r="B185" s="7"/>
      <c r="C185" s="7"/>
      <c r="D185" s="7"/>
      <c r="E185" s="7"/>
      <c r="F185" s="7"/>
    </row>
    <row r="186">
      <c r="A186" s="4"/>
      <c r="B186" s="7"/>
      <c r="C186" s="7"/>
      <c r="D186" s="7"/>
      <c r="E186" s="7"/>
      <c r="F186" s="7"/>
    </row>
    <row r="187">
      <c r="A187" s="4"/>
      <c r="B187" s="7"/>
      <c r="C187" s="7"/>
      <c r="D187" s="7"/>
      <c r="E187" s="7"/>
      <c r="F187" s="7"/>
    </row>
    <row r="188">
      <c r="A188" s="4"/>
      <c r="B188" s="7"/>
      <c r="C188" s="7"/>
      <c r="D188" s="7"/>
      <c r="E188" s="7"/>
      <c r="F188" s="7"/>
    </row>
    <row r="189">
      <c r="A189" s="4"/>
      <c r="B189" s="7"/>
      <c r="C189" s="7"/>
      <c r="D189" s="7"/>
      <c r="E189" s="7"/>
      <c r="F189" s="7"/>
    </row>
    <row r="190">
      <c r="A190" s="4"/>
      <c r="B190" s="7"/>
      <c r="C190" s="7"/>
      <c r="D190" s="7"/>
      <c r="E190" s="7"/>
      <c r="F190" s="7"/>
    </row>
    <row r="191">
      <c r="A191" s="4"/>
      <c r="B191" s="7"/>
      <c r="C191" s="7"/>
      <c r="D191" s="7"/>
      <c r="E191" s="7"/>
      <c r="F191" s="7"/>
    </row>
    <row r="192">
      <c r="A192" s="4"/>
      <c r="B192" s="7"/>
      <c r="C192" s="7"/>
      <c r="D192" s="7"/>
      <c r="E192" s="7"/>
      <c r="F192" s="7"/>
    </row>
    <row r="193">
      <c r="A193" s="4"/>
      <c r="B193" s="7"/>
      <c r="C193" s="7"/>
      <c r="D193" s="7"/>
      <c r="E193" s="7"/>
      <c r="F193" s="7"/>
    </row>
    <row r="194">
      <c r="A194" s="4"/>
      <c r="B194" s="7"/>
      <c r="C194" s="7"/>
      <c r="D194" s="7"/>
      <c r="E194" s="7"/>
      <c r="F194" s="7"/>
    </row>
    <row r="195">
      <c r="A195" s="4"/>
      <c r="B195" s="7"/>
      <c r="C195" s="7"/>
      <c r="D195" s="7"/>
      <c r="E195" s="7"/>
      <c r="F195" s="7"/>
    </row>
    <row r="196">
      <c r="A196" s="4"/>
      <c r="B196" s="7"/>
      <c r="C196" s="7"/>
      <c r="D196" s="7"/>
      <c r="E196" s="7"/>
      <c r="F196" s="7"/>
    </row>
    <row r="197">
      <c r="A197" s="4"/>
      <c r="B197" s="7"/>
      <c r="C197" s="7"/>
      <c r="D197" s="7"/>
      <c r="E197" s="7"/>
      <c r="F197" s="7"/>
    </row>
    <row r="198">
      <c r="A198" s="4"/>
      <c r="B198" s="7"/>
      <c r="C198" s="7"/>
      <c r="D198" s="7"/>
      <c r="E198" s="7"/>
      <c r="F198" s="7"/>
    </row>
    <row r="199">
      <c r="A199" s="4"/>
      <c r="B199" s="7"/>
      <c r="C199" s="7"/>
      <c r="D199" s="7"/>
      <c r="E199" s="7"/>
      <c r="F199" s="7"/>
    </row>
    <row r="200">
      <c r="A200" s="4"/>
      <c r="B200" s="7"/>
      <c r="C200" s="7"/>
      <c r="D200" s="7"/>
      <c r="E200" s="7"/>
      <c r="F200" s="7"/>
    </row>
    <row r="201">
      <c r="A201" s="4"/>
      <c r="B201" s="7"/>
      <c r="C201" s="7"/>
      <c r="D201" s="7"/>
      <c r="E201" s="7"/>
      <c r="F201" s="7"/>
    </row>
    <row r="202">
      <c r="A202" s="4"/>
      <c r="B202" s="7"/>
      <c r="C202" s="7"/>
      <c r="D202" s="7"/>
      <c r="E202" s="7"/>
      <c r="F202" s="7"/>
    </row>
    <row r="203">
      <c r="A203" s="4"/>
      <c r="B203" s="7"/>
      <c r="C203" s="7"/>
      <c r="D203" s="7"/>
      <c r="E203" s="7"/>
      <c r="F203" s="7"/>
    </row>
    <row r="204">
      <c r="A204" s="4"/>
      <c r="B204" s="7"/>
      <c r="C204" s="7"/>
      <c r="D204" s="7"/>
      <c r="E204" s="7"/>
      <c r="F204" s="7"/>
    </row>
    <row r="205">
      <c r="A205" s="4"/>
      <c r="B205" s="7"/>
      <c r="C205" s="7"/>
      <c r="D205" s="7"/>
      <c r="E205" s="7"/>
      <c r="F205" s="7"/>
    </row>
    <row r="206">
      <c r="A206" s="4"/>
      <c r="B206" s="7"/>
      <c r="C206" s="7"/>
      <c r="D206" s="7"/>
      <c r="E206" s="7"/>
      <c r="F206" s="7"/>
    </row>
    <row r="207">
      <c r="A207" s="4"/>
      <c r="B207" s="7"/>
      <c r="C207" s="7"/>
      <c r="D207" s="7"/>
      <c r="E207" s="7"/>
      <c r="F207" s="7"/>
    </row>
    <row r="208">
      <c r="A208" s="4"/>
      <c r="B208" s="7"/>
      <c r="C208" s="7"/>
      <c r="D208" s="7"/>
      <c r="E208" s="7"/>
      <c r="F208" s="7"/>
    </row>
    <row r="209">
      <c r="A209" s="4"/>
      <c r="B209" s="7"/>
      <c r="C209" s="7"/>
      <c r="D209" s="7"/>
      <c r="E209" s="7"/>
      <c r="F209" s="7"/>
    </row>
    <row r="210">
      <c r="A210" s="4"/>
      <c r="B210" s="7"/>
      <c r="C210" s="7"/>
      <c r="D210" s="7"/>
      <c r="E210" s="7"/>
      <c r="F210" s="7"/>
    </row>
    <row r="211">
      <c r="A211" s="4"/>
      <c r="B211" s="7"/>
      <c r="C211" s="7"/>
      <c r="D211" s="7"/>
      <c r="E211" s="7"/>
      <c r="F211" s="7"/>
    </row>
    <row r="212">
      <c r="A212" s="4"/>
      <c r="B212" s="7"/>
      <c r="C212" s="7"/>
      <c r="D212" s="7"/>
      <c r="E212" s="7"/>
      <c r="F212" s="7"/>
    </row>
    <row r="213">
      <c r="A213" s="4"/>
      <c r="B213" s="7"/>
      <c r="C213" s="7"/>
      <c r="D213" s="7"/>
      <c r="E213" s="7"/>
      <c r="F213" s="7"/>
    </row>
    <row r="214">
      <c r="A214" s="4"/>
      <c r="B214" s="7"/>
      <c r="C214" s="7"/>
      <c r="D214" s="7"/>
      <c r="E214" s="7"/>
      <c r="F214" s="7"/>
    </row>
    <row r="215">
      <c r="A215" s="4"/>
      <c r="B215" s="7"/>
      <c r="C215" s="7"/>
      <c r="D215" s="7"/>
      <c r="E215" s="7"/>
      <c r="F215" s="7"/>
    </row>
    <row r="216">
      <c r="A216" s="4"/>
      <c r="B216" s="7"/>
      <c r="C216" s="7"/>
      <c r="D216" s="7"/>
      <c r="E216" s="7"/>
      <c r="F216" s="7"/>
    </row>
    <row r="217">
      <c r="A217" s="4"/>
      <c r="B217" s="7"/>
      <c r="C217" s="7"/>
      <c r="D217" s="7"/>
      <c r="E217" s="7"/>
      <c r="F217" s="7"/>
    </row>
    <row r="218">
      <c r="A218" s="4"/>
      <c r="B218" s="7"/>
      <c r="C218" s="7"/>
      <c r="D218" s="7"/>
      <c r="E218" s="7"/>
      <c r="F218" s="7"/>
    </row>
    <row r="219">
      <c r="A219" s="4"/>
      <c r="B219" s="7"/>
      <c r="C219" s="7"/>
      <c r="D219" s="7"/>
      <c r="E219" s="7"/>
      <c r="F219" s="7"/>
    </row>
    <row r="220">
      <c r="A220" s="4"/>
      <c r="B220" s="7"/>
      <c r="C220" s="7"/>
      <c r="D220" s="7"/>
      <c r="E220" s="7"/>
      <c r="F220" s="7"/>
    </row>
    <row r="221">
      <c r="A221" s="4"/>
      <c r="B221" s="7"/>
      <c r="C221" s="7"/>
      <c r="D221" s="7"/>
      <c r="E221" s="7"/>
      <c r="F221" s="7"/>
    </row>
    <row r="222">
      <c r="A222" s="4"/>
      <c r="B222" s="7"/>
      <c r="C222" s="7"/>
      <c r="D222" s="7"/>
      <c r="E222" s="7"/>
      <c r="F222" s="7"/>
    </row>
    <row r="223">
      <c r="A223" s="4"/>
      <c r="B223" s="7"/>
      <c r="C223" s="7"/>
      <c r="D223" s="7"/>
      <c r="E223" s="7"/>
      <c r="F223" s="7"/>
    </row>
    <row r="224">
      <c r="A224" s="4"/>
      <c r="B224" s="7"/>
      <c r="C224" s="7"/>
      <c r="D224" s="7"/>
      <c r="E224" s="7"/>
      <c r="F224" s="7"/>
    </row>
    <row r="225">
      <c r="A225" s="4"/>
      <c r="B225" s="7"/>
      <c r="C225" s="7"/>
      <c r="D225" s="7"/>
      <c r="E225" s="7"/>
      <c r="F225" s="7"/>
    </row>
    <row r="226">
      <c r="A226" s="4"/>
      <c r="B226" s="7"/>
      <c r="C226" s="7"/>
      <c r="D226" s="7"/>
      <c r="E226" s="7"/>
      <c r="F226" s="7"/>
    </row>
    <row r="227">
      <c r="A227" s="4"/>
      <c r="B227" s="7"/>
      <c r="C227" s="7"/>
      <c r="D227" s="7"/>
      <c r="E227" s="7"/>
      <c r="F227" s="7"/>
    </row>
    <row r="228">
      <c r="A228" s="4"/>
      <c r="B228" s="7"/>
      <c r="C228" s="7"/>
      <c r="D228" s="7"/>
      <c r="E228" s="7"/>
      <c r="F228" s="7"/>
    </row>
    <row r="229">
      <c r="A229" s="4"/>
      <c r="B229" s="7"/>
      <c r="C229" s="7"/>
      <c r="D229" s="7"/>
      <c r="E229" s="7"/>
      <c r="F229" s="7"/>
    </row>
    <row r="230">
      <c r="A230" s="4"/>
      <c r="B230" s="7"/>
      <c r="C230" s="7"/>
      <c r="D230" s="7"/>
      <c r="E230" s="7"/>
      <c r="F230" s="7"/>
    </row>
    <row r="231">
      <c r="A231" s="4"/>
      <c r="B231" s="7"/>
      <c r="C231" s="7"/>
      <c r="D231" s="7"/>
      <c r="E231" s="7"/>
      <c r="F231" s="7"/>
    </row>
    <row r="232">
      <c r="A232" s="4"/>
      <c r="B232" s="7"/>
      <c r="C232" s="7"/>
      <c r="D232" s="7"/>
      <c r="E232" s="7"/>
      <c r="F232" s="7"/>
    </row>
    <row r="233">
      <c r="A233" s="4"/>
      <c r="B233" s="7"/>
      <c r="C233" s="7"/>
      <c r="D233" s="7"/>
      <c r="E233" s="7"/>
      <c r="F233" s="7"/>
    </row>
    <row r="234">
      <c r="A234" s="4"/>
      <c r="B234" s="7"/>
      <c r="C234" s="7"/>
      <c r="D234" s="7"/>
      <c r="E234" s="7"/>
      <c r="F234" s="7"/>
    </row>
    <row r="235">
      <c r="A235" s="4"/>
      <c r="B235" s="7"/>
      <c r="C235" s="7"/>
      <c r="D235" s="7"/>
      <c r="E235" s="7"/>
      <c r="F235" s="7"/>
    </row>
    <row r="236">
      <c r="A236" s="4"/>
      <c r="B236" s="7"/>
      <c r="C236" s="7"/>
      <c r="D236" s="7"/>
      <c r="E236" s="7"/>
      <c r="F236" s="7"/>
    </row>
    <row r="237">
      <c r="A237" s="4"/>
      <c r="B237" s="7"/>
      <c r="C237" s="7"/>
      <c r="D237" s="7"/>
      <c r="E237" s="7"/>
      <c r="F237" s="7"/>
    </row>
    <row r="238">
      <c r="A238" s="4"/>
      <c r="B238" s="7"/>
      <c r="C238" s="7"/>
      <c r="D238" s="7"/>
      <c r="E238" s="7"/>
      <c r="F238" s="7"/>
    </row>
    <row r="239">
      <c r="A239" s="4"/>
      <c r="B239" s="7"/>
      <c r="C239" s="7"/>
      <c r="D239" s="7"/>
      <c r="E239" s="7"/>
      <c r="F239" s="7"/>
    </row>
    <row r="240">
      <c r="A240" s="4"/>
      <c r="B240" s="7"/>
      <c r="C240" s="7"/>
      <c r="D240" s="7"/>
      <c r="E240" s="7"/>
      <c r="F240" s="7"/>
    </row>
    <row r="241">
      <c r="A241" s="4"/>
      <c r="B241" s="7"/>
      <c r="C241" s="7"/>
      <c r="D241" s="7"/>
      <c r="E241" s="7"/>
      <c r="F241" s="7"/>
    </row>
    <row r="242">
      <c r="A242" s="4"/>
      <c r="B242" s="7"/>
      <c r="C242" s="7"/>
      <c r="D242" s="7"/>
      <c r="E242" s="7"/>
      <c r="F242" s="7"/>
    </row>
    <row r="243">
      <c r="A243" s="4"/>
      <c r="B243" s="7"/>
      <c r="C243" s="7"/>
      <c r="D243" s="7"/>
      <c r="E243" s="7"/>
      <c r="F243" s="7"/>
    </row>
    <row r="244">
      <c r="A244" s="4"/>
      <c r="B244" s="7"/>
      <c r="C244" s="7"/>
      <c r="D244" s="7"/>
      <c r="E244" s="7"/>
      <c r="F244" s="7"/>
    </row>
    <row r="245">
      <c r="A245" s="4"/>
      <c r="B245" s="7"/>
      <c r="C245" s="7"/>
      <c r="D245" s="7"/>
      <c r="E245" s="7"/>
      <c r="F245" s="7"/>
    </row>
    <row r="246">
      <c r="A246" s="4"/>
      <c r="B246" s="7"/>
      <c r="C246" s="7"/>
      <c r="D246" s="7"/>
      <c r="E246" s="7"/>
      <c r="F246" s="7"/>
    </row>
    <row r="247">
      <c r="A247" s="4"/>
      <c r="B247" s="7"/>
      <c r="C247" s="7"/>
      <c r="D247" s="7"/>
      <c r="E247" s="7"/>
      <c r="F247" s="7"/>
    </row>
    <row r="248">
      <c r="A248" s="4"/>
      <c r="B248" s="7"/>
      <c r="C248" s="7"/>
      <c r="D248" s="7"/>
      <c r="E248" s="7"/>
      <c r="F248" s="7"/>
    </row>
    <row r="249">
      <c r="A249" s="4"/>
      <c r="B249" s="7"/>
      <c r="C249" s="7"/>
      <c r="D249" s="7"/>
      <c r="E249" s="7"/>
      <c r="F249" s="7"/>
    </row>
    <row r="250">
      <c r="A250" s="4"/>
      <c r="B250" s="7"/>
      <c r="C250" s="7"/>
      <c r="D250" s="7"/>
      <c r="E250" s="7"/>
      <c r="F250" s="7"/>
    </row>
    <row r="251">
      <c r="A251" s="4"/>
      <c r="B251" s="7"/>
      <c r="C251" s="7"/>
      <c r="D251" s="7"/>
      <c r="E251" s="7"/>
      <c r="F251" s="7"/>
    </row>
    <row r="252">
      <c r="A252" s="4"/>
      <c r="B252" s="7"/>
      <c r="C252" s="7"/>
      <c r="D252" s="7"/>
      <c r="E252" s="7"/>
      <c r="F252" s="7"/>
    </row>
    <row r="253">
      <c r="A253" s="4"/>
      <c r="B253" s="7"/>
      <c r="C253" s="7"/>
      <c r="D253" s="7"/>
      <c r="E253" s="7"/>
      <c r="F253" s="7"/>
    </row>
    <row r="254">
      <c r="A254" s="4"/>
      <c r="B254" s="7"/>
      <c r="C254" s="7"/>
      <c r="D254" s="7"/>
      <c r="E254" s="7"/>
      <c r="F254" s="7"/>
    </row>
    <row r="255">
      <c r="A255" s="4"/>
      <c r="B255" s="7"/>
      <c r="C255" s="7"/>
      <c r="D255" s="7"/>
      <c r="E255" s="7"/>
      <c r="F255" s="7"/>
    </row>
    <row r="256">
      <c r="A256" s="4"/>
      <c r="B256" s="7"/>
      <c r="C256" s="7"/>
      <c r="D256" s="7"/>
      <c r="E256" s="7"/>
      <c r="F256" s="7"/>
    </row>
    <row r="257">
      <c r="A257" s="4"/>
      <c r="B257" s="7"/>
      <c r="C257" s="7"/>
      <c r="D257" s="7"/>
      <c r="E257" s="7"/>
      <c r="F257" s="7"/>
    </row>
    <row r="258">
      <c r="A258" s="4"/>
      <c r="B258" s="7"/>
      <c r="C258" s="7"/>
      <c r="D258" s="7"/>
      <c r="E258" s="7"/>
      <c r="F258" s="7"/>
    </row>
    <row r="259">
      <c r="A259" s="4"/>
      <c r="B259" s="7"/>
      <c r="C259" s="7"/>
      <c r="D259" s="7"/>
      <c r="E259" s="7"/>
      <c r="F259" s="7"/>
    </row>
    <row r="260">
      <c r="A260" s="4"/>
      <c r="B260" s="7"/>
      <c r="C260" s="7"/>
      <c r="D260" s="7"/>
      <c r="E260" s="7"/>
      <c r="F260" s="7"/>
    </row>
    <row r="261">
      <c r="A261" s="4"/>
      <c r="B261" s="7"/>
      <c r="C261" s="7"/>
      <c r="D261" s="7"/>
      <c r="E261" s="7"/>
      <c r="F261" s="7"/>
    </row>
    <row r="262">
      <c r="A262" s="4"/>
      <c r="B262" s="7"/>
      <c r="C262" s="7"/>
      <c r="D262" s="7"/>
      <c r="E262" s="7"/>
      <c r="F262" s="7"/>
    </row>
    <row r="263">
      <c r="A263" s="4"/>
      <c r="B263" s="7"/>
      <c r="C263" s="7"/>
      <c r="D263" s="7"/>
      <c r="E263" s="7"/>
      <c r="F263" s="7"/>
    </row>
    <row r="264">
      <c r="A264" s="4"/>
      <c r="B264" s="7"/>
      <c r="C264" s="7"/>
      <c r="D264" s="7"/>
      <c r="E264" s="7"/>
      <c r="F264" s="7"/>
    </row>
    <row r="265">
      <c r="A265" s="4"/>
      <c r="B265" s="7"/>
      <c r="C265" s="7"/>
      <c r="D265" s="7"/>
      <c r="E265" s="7"/>
      <c r="F265" s="7"/>
    </row>
    <row r="266">
      <c r="A266" s="4"/>
      <c r="B266" s="7"/>
      <c r="C266" s="7"/>
      <c r="D266" s="7"/>
      <c r="E266" s="7"/>
      <c r="F266" s="7"/>
    </row>
    <row r="267">
      <c r="A267" s="4"/>
      <c r="B267" s="7"/>
      <c r="C267" s="7"/>
      <c r="D267" s="7"/>
      <c r="E267" s="7"/>
      <c r="F267" s="7"/>
    </row>
    <row r="268">
      <c r="A268" s="4"/>
      <c r="B268" s="7"/>
      <c r="C268" s="7"/>
      <c r="D268" s="7"/>
      <c r="E268" s="7"/>
      <c r="F268" s="7"/>
    </row>
    <row r="269">
      <c r="A269" s="4"/>
      <c r="B269" s="7"/>
      <c r="C269" s="7"/>
      <c r="D269" s="7"/>
      <c r="E269" s="7"/>
      <c r="F269" s="7"/>
    </row>
    <row r="270">
      <c r="A270" s="4"/>
      <c r="B270" s="7"/>
      <c r="C270" s="7"/>
      <c r="D270" s="7"/>
      <c r="E270" s="7"/>
      <c r="F270" s="7"/>
    </row>
    <row r="271">
      <c r="A271" s="4"/>
      <c r="B271" s="7"/>
      <c r="C271" s="7"/>
      <c r="D271" s="7"/>
      <c r="E271" s="7"/>
      <c r="F271" s="7"/>
    </row>
    <row r="272">
      <c r="A272" s="4"/>
      <c r="B272" s="7"/>
      <c r="C272" s="7"/>
      <c r="D272" s="7"/>
      <c r="E272" s="7"/>
      <c r="F272" s="7"/>
    </row>
    <row r="273">
      <c r="A273" s="4"/>
      <c r="B273" s="7"/>
      <c r="C273" s="7"/>
      <c r="D273" s="7"/>
      <c r="E273" s="7"/>
      <c r="F273" s="7"/>
    </row>
    <row r="274">
      <c r="A274" s="4"/>
      <c r="B274" s="7"/>
      <c r="C274" s="7"/>
      <c r="D274" s="7"/>
      <c r="E274" s="7"/>
      <c r="F274" s="7"/>
    </row>
    <row r="275">
      <c r="A275" s="4"/>
      <c r="B275" s="7"/>
      <c r="C275" s="7"/>
      <c r="D275" s="7"/>
      <c r="E275" s="7"/>
      <c r="F275" s="7"/>
    </row>
    <row r="276">
      <c r="A276" s="4"/>
      <c r="B276" s="7"/>
      <c r="C276" s="7"/>
      <c r="D276" s="7"/>
      <c r="E276" s="7"/>
      <c r="F276" s="7"/>
    </row>
    <row r="277">
      <c r="A277" s="4"/>
      <c r="B277" s="7"/>
      <c r="C277" s="7"/>
      <c r="D277" s="7"/>
      <c r="E277" s="7"/>
      <c r="F277" s="7"/>
    </row>
    <row r="278">
      <c r="A278" s="4"/>
      <c r="B278" s="7"/>
      <c r="C278" s="7"/>
      <c r="D278" s="7"/>
      <c r="E278" s="7"/>
      <c r="F278" s="7"/>
    </row>
    <row r="279">
      <c r="A279" s="4"/>
      <c r="B279" s="7"/>
      <c r="C279" s="7"/>
      <c r="D279" s="7"/>
      <c r="E279" s="7"/>
      <c r="F279" s="7"/>
    </row>
    <row r="280">
      <c r="A280" s="4"/>
      <c r="B280" s="7"/>
      <c r="C280" s="7"/>
      <c r="D280" s="7"/>
      <c r="E280" s="7"/>
      <c r="F280" s="7"/>
    </row>
    <row r="281">
      <c r="A281" s="4"/>
      <c r="B281" s="7"/>
      <c r="C281" s="7"/>
      <c r="D281" s="7"/>
      <c r="E281" s="7"/>
      <c r="F281" s="7"/>
    </row>
    <row r="282">
      <c r="A282" s="4"/>
      <c r="B282" s="7"/>
      <c r="C282" s="7"/>
      <c r="D282" s="7"/>
      <c r="E282" s="7"/>
      <c r="F282" s="7"/>
    </row>
    <row r="283">
      <c r="A283" s="4"/>
      <c r="B283" s="7"/>
      <c r="C283" s="7"/>
      <c r="D283" s="7"/>
      <c r="E283" s="7"/>
      <c r="F283" s="7"/>
    </row>
    <row r="284">
      <c r="A284" s="4"/>
      <c r="B284" s="7"/>
      <c r="C284" s="7"/>
      <c r="D284" s="7"/>
      <c r="E284" s="7"/>
      <c r="F284" s="7"/>
    </row>
    <row r="285">
      <c r="A285" s="4"/>
      <c r="B285" s="7"/>
      <c r="C285" s="7"/>
      <c r="D285" s="7"/>
      <c r="E285" s="7"/>
      <c r="F285" s="7"/>
    </row>
    <row r="286">
      <c r="A286" s="4"/>
      <c r="B286" s="7"/>
      <c r="C286" s="7"/>
      <c r="D286" s="7"/>
      <c r="E286" s="7"/>
      <c r="F286" s="7"/>
    </row>
    <row r="287">
      <c r="A287" s="4"/>
      <c r="B287" s="7"/>
      <c r="C287" s="7"/>
      <c r="D287" s="7"/>
      <c r="E287" s="7"/>
      <c r="F287" s="7"/>
    </row>
    <row r="288">
      <c r="A288" s="4"/>
      <c r="B288" s="7"/>
      <c r="C288" s="7"/>
      <c r="D288" s="7"/>
      <c r="E288" s="7"/>
      <c r="F288" s="7"/>
    </row>
    <row r="289">
      <c r="A289" s="4"/>
      <c r="B289" s="7"/>
      <c r="C289" s="7"/>
      <c r="D289" s="7"/>
      <c r="E289" s="7"/>
      <c r="F289" s="7"/>
    </row>
    <row r="290">
      <c r="A290" s="4"/>
      <c r="B290" s="7"/>
      <c r="C290" s="7"/>
      <c r="D290" s="7"/>
      <c r="E290" s="7"/>
      <c r="F290" s="7"/>
    </row>
    <row r="291">
      <c r="A291" s="4"/>
      <c r="B291" s="7"/>
      <c r="C291" s="7"/>
      <c r="D291" s="7"/>
      <c r="E291" s="7"/>
      <c r="F291" s="7"/>
    </row>
    <row r="292">
      <c r="A292" s="4"/>
      <c r="B292" s="7"/>
      <c r="C292" s="7"/>
      <c r="D292" s="7"/>
      <c r="E292" s="7"/>
      <c r="F292" s="7"/>
    </row>
    <row r="293">
      <c r="A293" s="4"/>
      <c r="B293" s="7"/>
      <c r="C293" s="7"/>
      <c r="D293" s="7"/>
      <c r="E293" s="7"/>
      <c r="F293" s="7"/>
    </row>
    <row r="294">
      <c r="A294" s="4"/>
      <c r="B294" s="7"/>
      <c r="C294" s="7"/>
      <c r="D294" s="7"/>
      <c r="E294" s="7"/>
      <c r="F294" s="7"/>
    </row>
    <row r="295">
      <c r="A295" s="4"/>
      <c r="B295" s="7"/>
      <c r="C295" s="7"/>
      <c r="D295" s="7"/>
      <c r="E295" s="7"/>
      <c r="F295" s="7"/>
    </row>
    <row r="296">
      <c r="A296" s="4"/>
      <c r="B296" s="7"/>
      <c r="C296" s="7"/>
      <c r="D296" s="7"/>
      <c r="E296" s="7"/>
      <c r="F296" s="7"/>
    </row>
    <row r="297">
      <c r="A297" s="4"/>
      <c r="B297" s="7"/>
      <c r="C297" s="7"/>
      <c r="D297" s="7"/>
      <c r="E297" s="7"/>
      <c r="F297" s="7"/>
    </row>
    <row r="298">
      <c r="A298" s="4"/>
      <c r="B298" s="7"/>
      <c r="C298" s="7"/>
      <c r="D298" s="7"/>
      <c r="E298" s="7"/>
      <c r="F298" s="7"/>
    </row>
    <row r="299">
      <c r="A299" s="4"/>
      <c r="B299" s="7"/>
      <c r="C299" s="7"/>
      <c r="D299" s="7"/>
      <c r="E299" s="7"/>
      <c r="F299" s="7"/>
    </row>
    <row r="300">
      <c r="A300" s="4"/>
      <c r="B300" s="7"/>
      <c r="C300" s="7"/>
      <c r="D300" s="7"/>
      <c r="E300" s="7"/>
      <c r="F300" s="7"/>
    </row>
    <row r="301">
      <c r="A301" s="4"/>
      <c r="B301" s="7"/>
      <c r="C301" s="7"/>
      <c r="D301" s="7"/>
      <c r="E301" s="7"/>
      <c r="F301" s="7"/>
    </row>
    <row r="302">
      <c r="A302" s="4"/>
      <c r="B302" s="7"/>
      <c r="C302" s="7"/>
      <c r="D302" s="7"/>
      <c r="E302" s="7"/>
      <c r="F302" s="7"/>
    </row>
    <row r="303">
      <c r="A303" s="4"/>
      <c r="B303" s="7"/>
      <c r="C303" s="7"/>
      <c r="D303" s="7"/>
      <c r="E303" s="7"/>
      <c r="F303" s="7"/>
    </row>
    <row r="304">
      <c r="A304" s="4"/>
      <c r="B304" s="7"/>
      <c r="C304" s="7"/>
      <c r="D304" s="7"/>
      <c r="E304" s="7"/>
      <c r="F304" s="7"/>
    </row>
    <row r="305">
      <c r="A305" s="4"/>
      <c r="B305" s="7"/>
      <c r="C305" s="7"/>
      <c r="D305" s="7"/>
      <c r="E305" s="7"/>
      <c r="F305" s="7"/>
    </row>
    <row r="306">
      <c r="A306" s="4"/>
      <c r="B306" s="7"/>
      <c r="C306" s="7"/>
      <c r="D306" s="7"/>
      <c r="E306" s="7"/>
      <c r="F306" s="7"/>
    </row>
    <row r="307">
      <c r="A307" s="4"/>
      <c r="B307" s="7"/>
      <c r="C307" s="7"/>
      <c r="D307" s="7"/>
      <c r="E307" s="7"/>
      <c r="F307" s="7"/>
    </row>
    <row r="308">
      <c r="A308" s="4"/>
      <c r="B308" s="7"/>
      <c r="C308" s="7"/>
      <c r="D308" s="7"/>
      <c r="E308" s="7"/>
      <c r="F308" s="7"/>
    </row>
    <row r="309">
      <c r="A309" s="4"/>
      <c r="B309" s="7"/>
      <c r="C309" s="7"/>
      <c r="D309" s="7"/>
      <c r="E309" s="7"/>
      <c r="F309" s="7"/>
    </row>
    <row r="310">
      <c r="A310" s="4"/>
      <c r="B310" s="7"/>
      <c r="C310" s="7"/>
      <c r="D310" s="7"/>
      <c r="E310" s="7"/>
      <c r="F310" s="7"/>
    </row>
    <row r="311">
      <c r="A311" s="4"/>
      <c r="B311" s="7"/>
      <c r="C311" s="7"/>
      <c r="D311" s="7"/>
      <c r="E311" s="7"/>
      <c r="F311" s="7"/>
    </row>
    <row r="312">
      <c r="A312" s="4"/>
      <c r="B312" s="7"/>
      <c r="C312" s="7"/>
      <c r="D312" s="7"/>
      <c r="E312" s="7"/>
      <c r="F312" s="7"/>
    </row>
    <row r="313">
      <c r="A313" s="4"/>
      <c r="B313" s="7"/>
      <c r="C313" s="7"/>
      <c r="D313" s="7"/>
      <c r="E313" s="7"/>
      <c r="F313" s="7"/>
    </row>
    <row r="314">
      <c r="A314" s="4"/>
      <c r="B314" s="7"/>
      <c r="C314" s="7"/>
      <c r="D314" s="7"/>
      <c r="E314" s="7"/>
      <c r="F314" s="7"/>
    </row>
    <row r="315">
      <c r="A315" s="4"/>
      <c r="B315" s="7"/>
      <c r="C315" s="7"/>
      <c r="D315" s="7"/>
      <c r="E315" s="7"/>
      <c r="F315" s="7"/>
    </row>
    <row r="316">
      <c r="A316" s="4"/>
      <c r="B316" s="7"/>
      <c r="C316" s="7"/>
      <c r="D316" s="7"/>
      <c r="E316" s="7"/>
      <c r="F316" s="7"/>
    </row>
    <row r="317">
      <c r="A317" s="4"/>
      <c r="B317" s="7"/>
      <c r="C317" s="7"/>
      <c r="D317" s="7"/>
      <c r="E317" s="7"/>
      <c r="F317" s="7"/>
    </row>
    <row r="318">
      <c r="A318" s="4"/>
      <c r="B318" s="7"/>
      <c r="C318" s="7"/>
      <c r="D318" s="7"/>
      <c r="E318" s="7"/>
      <c r="F318" s="7"/>
    </row>
    <row r="319">
      <c r="A319" s="4"/>
      <c r="B319" s="7"/>
      <c r="C319" s="7"/>
      <c r="D319" s="7"/>
      <c r="E319" s="7"/>
      <c r="F319" s="7"/>
    </row>
    <row r="320">
      <c r="A320" s="4"/>
      <c r="B320" s="7"/>
      <c r="C320" s="7"/>
      <c r="D320" s="7"/>
      <c r="E320" s="7"/>
      <c r="F320" s="7"/>
    </row>
    <row r="321">
      <c r="A321" s="4"/>
      <c r="B321" s="7"/>
      <c r="C321" s="7"/>
      <c r="D321" s="7"/>
      <c r="E321" s="7"/>
      <c r="F321" s="7"/>
    </row>
    <row r="322">
      <c r="A322" s="4"/>
      <c r="B322" s="7"/>
      <c r="C322" s="7"/>
      <c r="D322" s="7"/>
      <c r="E322" s="7"/>
      <c r="F322" s="7"/>
    </row>
    <row r="323">
      <c r="A323" s="4"/>
      <c r="B323" s="7"/>
      <c r="C323" s="7"/>
      <c r="D323" s="7"/>
      <c r="E323" s="7"/>
      <c r="F323" s="7"/>
    </row>
    <row r="324">
      <c r="A324" s="4"/>
      <c r="B324" s="7"/>
      <c r="C324" s="7"/>
      <c r="D324" s="7"/>
      <c r="E324" s="7"/>
      <c r="F324" s="7"/>
    </row>
    <row r="325">
      <c r="A325" s="4"/>
      <c r="B325" s="7"/>
      <c r="C325" s="7"/>
      <c r="D325" s="7"/>
      <c r="E325" s="7"/>
      <c r="F325" s="7"/>
    </row>
    <row r="326">
      <c r="A326" s="4"/>
      <c r="B326" s="7"/>
      <c r="C326" s="7"/>
      <c r="D326" s="7"/>
      <c r="E326" s="7"/>
      <c r="F326" s="7"/>
    </row>
    <row r="327">
      <c r="A327" s="4"/>
      <c r="B327" s="7"/>
      <c r="C327" s="7"/>
      <c r="D327" s="7"/>
      <c r="E327" s="7"/>
      <c r="F327" s="7"/>
    </row>
    <row r="328">
      <c r="A328" s="4"/>
      <c r="B328" s="7"/>
      <c r="C328" s="7"/>
      <c r="D328" s="7"/>
      <c r="E328" s="7"/>
      <c r="F328" s="7"/>
    </row>
    <row r="329">
      <c r="A329" s="4"/>
      <c r="B329" s="7"/>
      <c r="C329" s="7"/>
      <c r="D329" s="7"/>
      <c r="E329" s="7"/>
      <c r="F329" s="7"/>
    </row>
    <row r="330">
      <c r="A330" s="4"/>
      <c r="B330" s="7"/>
      <c r="C330" s="7"/>
      <c r="D330" s="7"/>
      <c r="E330" s="7"/>
      <c r="F330" s="7"/>
    </row>
    <row r="331">
      <c r="A331" s="4"/>
      <c r="B331" s="7"/>
      <c r="C331" s="7"/>
      <c r="D331" s="7"/>
      <c r="E331" s="7"/>
      <c r="F331" s="7"/>
    </row>
    <row r="332">
      <c r="A332" s="4"/>
      <c r="B332" s="7"/>
      <c r="C332" s="7"/>
      <c r="D332" s="7"/>
      <c r="E332" s="7"/>
      <c r="F332" s="7"/>
    </row>
    <row r="333">
      <c r="A333" s="4"/>
      <c r="B333" s="7"/>
      <c r="C333" s="7"/>
      <c r="D333" s="7"/>
      <c r="E333" s="7"/>
      <c r="F333" s="7"/>
    </row>
    <row r="334">
      <c r="A334" s="4"/>
      <c r="B334" s="7"/>
      <c r="C334" s="7"/>
      <c r="D334" s="7"/>
      <c r="E334" s="7"/>
      <c r="F334" s="7"/>
    </row>
    <row r="335">
      <c r="A335" s="4"/>
      <c r="B335" s="7"/>
      <c r="C335" s="7"/>
      <c r="D335" s="7"/>
      <c r="E335" s="7"/>
      <c r="F335" s="7"/>
    </row>
    <row r="336">
      <c r="A336" s="4"/>
      <c r="B336" s="7"/>
      <c r="C336" s="7"/>
      <c r="D336" s="7"/>
      <c r="E336" s="7"/>
      <c r="F336" s="7"/>
    </row>
    <row r="337">
      <c r="A337" s="4"/>
      <c r="B337" s="7"/>
      <c r="C337" s="7"/>
      <c r="D337" s="7"/>
      <c r="E337" s="7"/>
      <c r="F337" s="7"/>
    </row>
    <row r="338">
      <c r="A338" s="4"/>
      <c r="B338" s="7"/>
      <c r="C338" s="7"/>
      <c r="D338" s="7"/>
      <c r="E338" s="7"/>
      <c r="F338" s="7"/>
    </row>
    <row r="339">
      <c r="A339" s="4"/>
      <c r="B339" s="7"/>
      <c r="C339" s="7"/>
      <c r="D339" s="7"/>
      <c r="E339" s="7"/>
      <c r="F339" s="7"/>
    </row>
    <row r="340">
      <c r="A340" s="4"/>
      <c r="B340" s="7"/>
      <c r="C340" s="7"/>
      <c r="D340" s="7"/>
      <c r="E340" s="7"/>
      <c r="F340" s="7"/>
    </row>
    <row r="341">
      <c r="A341" s="4"/>
      <c r="B341" s="7"/>
      <c r="C341" s="7"/>
      <c r="D341" s="7"/>
      <c r="E341" s="7"/>
      <c r="F341" s="7"/>
    </row>
    <row r="342">
      <c r="A342" s="4"/>
      <c r="B342" s="7"/>
      <c r="C342" s="7"/>
      <c r="D342" s="7"/>
      <c r="E342" s="7"/>
      <c r="F342" s="7"/>
    </row>
    <row r="343">
      <c r="A343" s="4"/>
      <c r="B343" s="7"/>
      <c r="C343" s="7"/>
      <c r="D343" s="7"/>
      <c r="E343" s="7"/>
      <c r="F343" s="7"/>
    </row>
    <row r="344">
      <c r="A344" s="4"/>
      <c r="B344" s="7"/>
      <c r="C344" s="7"/>
      <c r="D344" s="7"/>
      <c r="E344" s="7"/>
      <c r="F344" s="7"/>
    </row>
    <row r="345">
      <c r="A345" s="4"/>
      <c r="B345" s="7"/>
      <c r="C345" s="7"/>
      <c r="D345" s="7"/>
      <c r="E345" s="7"/>
      <c r="F345" s="7"/>
    </row>
    <row r="346">
      <c r="A346" s="4"/>
      <c r="B346" s="7"/>
      <c r="C346" s="7"/>
      <c r="D346" s="7"/>
      <c r="E346" s="7"/>
      <c r="F346" s="7"/>
    </row>
    <row r="347">
      <c r="A347" s="4"/>
      <c r="B347" s="7"/>
      <c r="C347" s="7"/>
      <c r="D347" s="7"/>
      <c r="E347" s="7"/>
      <c r="F347" s="7"/>
    </row>
    <row r="348">
      <c r="A348" s="4"/>
      <c r="B348" s="7"/>
      <c r="C348" s="7"/>
      <c r="D348" s="7"/>
      <c r="E348" s="7"/>
      <c r="F348" s="7"/>
    </row>
    <row r="349">
      <c r="A349" s="4"/>
      <c r="B349" s="7"/>
      <c r="C349" s="7"/>
      <c r="D349" s="7"/>
      <c r="E349" s="7"/>
      <c r="F349" s="7"/>
    </row>
    <row r="350">
      <c r="A350" s="4"/>
      <c r="B350" s="7"/>
      <c r="C350" s="7"/>
      <c r="D350" s="7"/>
      <c r="E350" s="7"/>
      <c r="F350" s="7"/>
    </row>
    <row r="351">
      <c r="A351" s="4"/>
      <c r="B351" s="7"/>
      <c r="C351" s="7"/>
      <c r="D351" s="7"/>
      <c r="E351" s="7"/>
      <c r="F351" s="7"/>
    </row>
    <row r="352">
      <c r="A352" s="4"/>
      <c r="B352" s="7"/>
      <c r="C352" s="7"/>
      <c r="D352" s="7"/>
      <c r="E352" s="7"/>
      <c r="F352" s="7"/>
    </row>
    <row r="353">
      <c r="A353" s="4"/>
      <c r="B353" s="7"/>
      <c r="C353" s="7"/>
      <c r="D353" s="7"/>
      <c r="E353" s="7"/>
      <c r="F353" s="7"/>
    </row>
    <row r="354">
      <c r="A354" s="4"/>
      <c r="B354" s="7"/>
      <c r="C354" s="7"/>
      <c r="D354" s="7"/>
      <c r="E354" s="7"/>
      <c r="F354" s="7"/>
    </row>
    <row r="355">
      <c r="A355" s="4"/>
      <c r="B355" s="7"/>
      <c r="C355" s="7"/>
      <c r="D355" s="7"/>
      <c r="E355" s="7"/>
      <c r="F355" s="7"/>
    </row>
    <row r="356">
      <c r="A356" s="4"/>
      <c r="B356" s="7"/>
      <c r="C356" s="7"/>
      <c r="D356" s="7"/>
      <c r="E356" s="7"/>
      <c r="F356" s="7"/>
    </row>
    <row r="357">
      <c r="A357" s="4"/>
      <c r="B357" s="7"/>
      <c r="C357" s="7"/>
      <c r="D357" s="7"/>
      <c r="E357" s="7"/>
      <c r="F357" s="7"/>
    </row>
    <row r="358">
      <c r="A358" s="4"/>
      <c r="B358" s="7"/>
      <c r="C358" s="7"/>
      <c r="D358" s="7"/>
      <c r="E358" s="7"/>
      <c r="F358" s="7"/>
    </row>
    <row r="359">
      <c r="A359" s="4"/>
      <c r="B359" s="7"/>
      <c r="C359" s="7"/>
      <c r="D359" s="7"/>
      <c r="E359" s="7"/>
      <c r="F359" s="7"/>
    </row>
    <row r="360">
      <c r="A360" s="4"/>
      <c r="B360" s="7"/>
      <c r="C360" s="7"/>
      <c r="D360" s="7"/>
      <c r="E360" s="7"/>
      <c r="F360" s="7"/>
    </row>
    <row r="361">
      <c r="A361" s="4"/>
      <c r="B361" s="7"/>
      <c r="C361" s="7"/>
      <c r="D361" s="7"/>
      <c r="E361" s="7"/>
      <c r="F361" s="7"/>
    </row>
    <row r="362">
      <c r="A362" s="4"/>
      <c r="B362" s="7"/>
      <c r="C362" s="7"/>
      <c r="D362" s="7"/>
      <c r="E362" s="7"/>
      <c r="F362" s="7"/>
    </row>
    <row r="363">
      <c r="A363" s="4"/>
      <c r="B363" s="7"/>
      <c r="C363" s="7"/>
      <c r="D363" s="7"/>
      <c r="E363" s="7"/>
      <c r="F363" s="7"/>
    </row>
    <row r="364">
      <c r="A364" s="4"/>
      <c r="B364" s="7"/>
      <c r="C364" s="7"/>
      <c r="D364" s="7"/>
      <c r="E364" s="7"/>
      <c r="F364" s="7"/>
    </row>
    <row r="365">
      <c r="A365" s="4"/>
      <c r="B365" s="7"/>
      <c r="C365" s="7"/>
      <c r="D365" s="7"/>
      <c r="E365" s="7"/>
      <c r="F365" s="7"/>
    </row>
    <row r="366">
      <c r="A366" s="4"/>
      <c r="B366" s="7"/>
      <c r="C366" s="7"/>
      <c r="D366" s="7"/>
      <c r="E366" s="7"/>
      <c r="F366" s="7"/>
    </row>
    <row r="367">
      <c r="A367" s="4"/>
      <c r="B367" s="7"/>
      <c r="C367" s="7"/>
      <c r="D367" s="7"/>
      <c r="E367" s="7"/>
      <c r="F367" s="7"/>
    </row>
    <row r="368">
      <c r="A368" s="4"/>
      <c r="B368" s="7"/>
      <c r="C368" s="7"/>
      <c r="D368" s="7"/>
      <c r="E368" s="7"/>
      <c r="F368" s="7"/>
    </row>
    <row r="369">
      <c r="A369" s="4"/>
      <c r="B369" s="7"/>
      <c r="C369" s="7"/>
      <c r="D369" s="7"/>
      <c r="E369" s="7"/>
      <c r="F369" s="7"/>
    </row>
    <row r="370">
      <c r="A370" s="4"/>
      <c r="B370" s="7"/>
      <c r="C370" s="7"/>
      <c r="D370" s="7"/>
      <c r="E370" s="7"/>
      <c r="F370" s="7"/>
    </row>
    <row r="371">
      <c r="A371" s="4"/>
      <c r="B371" s="7"/>
      <c r="C371" s="7"/>
      <c r="D371" s="7"/>
      <c r="E371" s="7"/>
      <c r="F371" s="7"/>
    </row>
    <row r="372">
      <c r="A372" s="4"/>
      <c r="B372" s="7"/>
      <c r="C372" s="7"/>
      <c r="D372" s="7"/>
      <c r="E372" s="7"/>
      <c r="F372" s="7"/>
    </row>
    <row r="373">
      <c r="A373" s="4"/>
      <c r="B373" s="7"/>
      <c r="C373" s="7"/>
      <c r="D373" s="7"/>
      <c r="E373" s="7"/>
      <c r="F373" s="7"/>
    </row>
    <row r="374">
      <c r="A374" s="4"/>
      <c r="B374" s="7"/>
      <c r="C374" s="7"/>
      <c r="D374" s="7"/>
      <c r="E374" s="7"/>
      <c r="F374" s="7"/>
    </row>
    <row r="375">
      <c r="A375" s="4"/>
      <c r="B375" s="7"/>
      <c r="C375" s="7"/>
      <c r="D375" s="7"/>
      <c r="E375" s="7"/>
      <c r="F375" s="7"/>
    </row>
    <row r="376">
      <c r="A376" s="4"/>
      <c r="B376" s="7"/>
      <c r="C376" s="7"/>
      <c r="D376" s="7"/>
      <c r="E376" s="7"/>
      <c r="F376" s="7"/>
    </row>
    <row r="377">
      <c r="A377" s="4"/>
      <c r="B377" s="7"/>
      <c r="C377" s="7"/>
      <c r="D377" s="7"/>
      <c r="E377" s="7"/>
      <c r="F377" s="7"/>
    </row>
    <row r="378">
      <c r="A378" s="4"/>
      <c r="B378" s="7"/>
      <c r="C378" s="7"/>
      <c r="D378" s="7"/>
      <c r="E378" s="7"/>
      <c r="F378" s="7"/>
    </row>
    <row r="379">
      <c r="A379" s="4"/>
      <c r="B379" s="7"/>
      <c r="C379" s="7"/>
      <c r="D379" s="7"/>
      <c r="E379" s="7"/>
      <c r="F379" s="7"/>
    </row>
    <row r="380">
      <c r="A380" s="4"/>
      <c r="B380" s="7"/>
      <c r="C380" s="7"/>
      <c r="D380" s="7"/>
      <c r="E380" s="7"/>
      <c r="F380" s="7"/>
    </row>
    <row r="381">
      <c r="A381" s="4"/>
      <c r="B381" s="7"/>
      <c r="C381" s="7"/>
      <c r="D381" s="7"/>
      <c r="E381" s="7"/>
      <c r="F381" s="7"/>
    </row>
    <row r="382">
      <c r="A382" s="4"/>
      <c r="B382" s="7"/>
      <c r="C382" s="7"/>
      <c r="D382" s="7"/>
      <c r="E382" s="7"/>
      <c r="F382" s="7"/>
    </row>
    <row r="383">
      <c r="A383" s="4"/>
      <c r="B383" s="7"/>
      <c r="C383" s="7"/>
      <c r="D383" s="7"/>
      <c r="E383" s="7"/>
      <c r="F383" s="7"/>
    </row>
    <row r="384">
      <c r="A384" s="4"/>
      <c r="B384" s="7"/>
      <c r="C384" s="7"/>
      <c r="D384" s="7"/>
      <c r="E384" s="7"/>
      <c r="F384" s="7"/>
    </row>
    <row r="385">
      <c r="A385" s="4"/>
      <c r="B385" s="7"/>
      <c r="C385" s="7"/>
      <c r="D385" s="7"/>
      <c r="E385" s="7"/>
      <c r="F385" s="7"/>
    </row>
    <row r="386">
      <c r="A386" s="4"/>
      <c r="B386" s="7"/>
      <c r="C386" s="7"/>
      <c r="D386" s="7"/>
      <c r="E386" s="7"/>
      <c r="F386" s="7"/>
    </row>
    <row r="387">
      <c r="A387" s="4"/>
      <c r="B387" s="7"/>
      <c r="C387" s="7"/>
      <c r="D387" s="7"/>
      <c r="E387" s="7"/>
      <c r="F387" s="7"/>
    </row>
    <row r="388">
      <c r="A388" s="4"/>
      <c r="B388" s="7"/>
      <c r="C388" s="7"/>
      <c r="D388" s="7"/>
      <c r="E388" s="7"/>
      <c r="F388" s="7"/>
    </row>
    <row r="389">
      <c r="A389" s="4"/>
      <c r="B389" s="7"/>
      <c r="C389" s="7"/>
      <c r="D389" s="7"/>
      <c r="E389" s="7"/>
      <c r="F389" s="7"/>
    </row>
    <row r="390">
      <c r="A390" s="4"/>
      <c r="B390" s="7"/>
      <c r="C390" s="7"/>
      <c r="D390" s="7"/>
      <c r="E390" s="7"/>
      <c r="F390" s="7"/>
    </row>
    <row r="391">
      <c r="A391" s="4"/>
      <c r="B391" s="7"/>
      <c r="C391" s="7"/>
      <c r="D391" s="7"/>
      <c r="E391" s="7"/>
      <c r="F391" s="7"/>
    </row>
    <row r="392">
      <c r="A392" s="4"/>
      <c r="B392" s="7"/>
      <c r="C392" s="7"/>
      <c r="D392" s="7"/>
      <c r="E392" s="7"/>
      <c r="F392" s="7"/>
    </row>
    <row r="393">
      <c r="A393" s="4"/>
      <c r="B393" s="7"/>
      <c r="C393" s="7"/>
      <c r="D393" s="7"/>
      <c r="E393" s="7"/>
      <c r="F393" s="7"/>
    </row>
    <row r="394">
      <c r="A394" s="4"/>
      <c r="B394" s="7"/>
      <c r="C394" s="7"/>
      <c r="D394" s="7"/>
      <c r="E394" s="7"/>
      <c r="F394" s="7"/>
    </row>
    <row r="395">
      <c r="A395" s="4"/>
      <c r="B395" s="7"/>
      <c r="C395" s="7"/>
      <c r="D395" s="7"/>
      <c r="E395" s="7"/>
      <c r="F395" s="7"/>
    </row>
    <row r="396">
      <c r="A396" s="4"/>
      <c r="B396" s="7"/>
      <c r="C396" s="7"/>
      <c r="D396" s="7"/>
      <c r="E396" s="7"/>
      <c r="F396" s="7"/>
    </row>
    <row r="397">
      <c r="A397" s="4"/>
      <c r="B397" s="7"/>
      <c r="C397" s="7"/>
      <c r="D397" s="7"/>
      <c r="E397" s="7"/>
      <c r="F397" s="7"/>
    </row>
    <row r="398">
      <c r="A398" s="4"/>
      <c r="B398" s="7"/>
      <c r="C398" s="7"/>
      <c r="D398" s="7"/>
      <c r="E398" s="7"/>
      <c r="F398" s="7"/>
    </row>
    <row r="399">
      <c r="A399" s="4"/>
      <c r="B399" s="7"/>
      <c r="C399" s="7"/>
      <c r="D399" s="7"/>
      <c r="E399" s="7"/>
      <c r="F399" s="7"/>
    </row>
    <row r="400">
      <c r="A400" s="4"/>
      <c r="B400" s="7"/>
      <c r="C400" s="7"/>
      <c r="D400" s="7"/>
      <c r="E400" s="7"/>
      <c r="F400" s="7"/>
    </row>
    <row r="401">
      <c r="A401" s="4"/>
      <c r="B401" s="7"/>
      <c r="C401" s="7"/>
      <c r="D401" s="7"/>
      <c r="E401" s="7"/>
      <c r="F401" s="7"/>
    </row>
    <row r="402">
      <c r="A402" s="4"/>
      <c r="B402" s="7"/>
      <c r="C402" s="7"/>
      <c r="D402" s="7"/>
      <c r="E402" s="7"/>
      <c r="F402" s="7"/>
    </row>
    <row r="403">
      <c r="A403" s="4"/>
      <c r="B403" s="7"/>
      <c r="C403" s="7"/>
      <c r="D403" s="7"/>
      <c r="E403" s="7"/>
      <c r="F403" s="7"/>
    </row>
    <row r="404">
      <c r="A404" s="4"/>
      <c r="B404" s="7"/>
      <c r="C404" s="7"/>
      <c r="D404" s="7"/>
      <c r="E404" s="7"/>
      <c r="F404" s="7"/>
    </row>
    <row r="405">
      <c r="A405" s="4"/>
      <c r="B405" s="7"/>
      <c r="C405" s="7"/>
      <c r="D405" s="7"/>
      <c r="E405" s="7"/>
      <c r="F405" s="7"/>
    </row>
    <row r="406">
      <c r="A406" s="4"/>
      <c r="B406" s="7"/>
      <c r="C406" s="7"/>
      <c r="D406" s="7"/>
      <c r="E406" s="7"/>
      <c r="F406" s="7"/>
    </row>
    <row r="407">
      <c r="A407" s="4"/>
      <c r="B407" s="7"/>
      <c r="C407" s="7"/>
      <c r="D407" s="7"/>
      <c r="E407" s="7"/>
      <c r="F407" s="7"/>
    </row>
    <row r="408">
      <c r="A408" s="4"/>
      <c r="B408" s="7"/>
      <c r="C408" s="7"/>
      <c r="D408" s="7"/>
      <c r="E408" s="7"/>
      <c r="F408" s="7"/>
    </row>
    <row r="409">
      <c r="A409" s="4"/>
      <c r="B409" s="7"/>
      <c r="C409" s="7"/>
      <c r="D409" s="7"/>
      <c r="E409" s="7"/>
      <c r="F409" s="7"/>
    </row>
    <row r="410">
      <c r="A410" s="4"/>
      <c r="B410" s="7"/>
      <c r="C410" s="7"/>
      <c r="D410" s="7"/>
      <c r="E410" s="7"/>
      <c r="F410" s="7"/>
    </row>
    <row r="411">
      <c r="A411" s="4"/>
      <c r="B411" s="7"/>
      <c r="C411" s="7"/>
      <c r="D411" s="7"/>
      <c r="E411" s="7"/>
      <c r="F411" s="7"/>
    </row>
    <row r="412">
      <c r="A412" s="4"/>
      <c r="B412" s="7"/>
      <c r="C412" s="7"/>
      <c r="D412" s="7"/>
      <c r="E412" s="7"/>
      <c r="F412" s="7"/>
    </row>
    <row r="413">
      <c r="A413" s="4"/>
      <c r="B413" s="7"/>
      <c r="C413" s="7"/>
      <c r="D413" s="7"/>
      <c r="E413" s="7"/>
      <c r="F413" s="7"/>
    </row>
    <row r="414">
      <c r="A414" s="4"/>
      <c r="B414" s="7"/>
      <c r="C414" s="7"/>
      <c r="D414" s="7"/>
      <c r="E414" s="7"/>
      <c r="F414" s="7"/>
    </row>
    <row r="415">
      <c r="A415" s="4"/>
      <c r="B415" s="7"/>
      <c r="C415" s="7"/>
      <c r="D415" s="7"/>
      <c r="E415" s="7"/>
      <c r="F415" s="7"/>
    </row>
    <row r="416">
      <c r="A416" s="4"/>
      <c r="B416" s="7"/>
      <c r="C416" s="7"/>
      <c r="D416" s="7"/>
      <c r="E416" s="7"/>
      <c r="F416" s="7"/>
    </row>
    <row r="417">
      <c r="A417" s="4"/>
      <c r="B417" s="7"/>
      <c r="C417" s="7"/>
      <c r="D417" s="7"/>
      <c r="E417" s="7"/>
      <c r="F417" s="7"/>
    </row>
    <row r="418">
      <c r="A418" s="4"/>
      <c r="B418" s="7"/>
      <c r="C418" s="7"/>
      <c r="D418" s="7"/>
      <c r="E418" s="7"/>
      <c r="F418" s="7"/>
    </row>
    <row r="419">
      <c r="A419" s="4"/>
      <c r="B419" s="7"/>
      <c r="C419" s="7"/>
      <c r="D419" s="7"/>
      <c r="E419" s="7"/>
      <c r="F419" s="7"/>
    </row>
    <row r="420">
      <c r="A420" s="4"/>
      <c r="B420" s="7"/>
      <c r="C420" s="7"/>
      <c r="D420" s="7"/>
      <c r="E420" s="7"/>
      <c r="F420" s="7"/>
    </row>
    <row r="421">
      <c r="A421" s="4"/>
      <c r="B421" s="7"/>
      <c r="C421" s="7"/>
      <c r="D421" s="7"/>
      <c r="E421" s="7"/>
      <c r="F421" s="7"/>
    </row>
    <row r="422">
      <c r="A422" s="4"/>
      <c r="B422" s="7"/>
      <c r="C422" s="7"/>
      <c r="D422" s="7"/>
      <c r="E422" s="7"/>
      <c r="F422" s="7"/>
    </row>
    <row r="423">
      <c r="A423" s="4"/>
      <c r="B423" s="7"/>
      <c r="C423" s="7"/>
      <c r="D423" s="7"/>
      <c r="E423" s="7"/>
      <c r="F423" s="7"/>
    </row>
    <row r="424">
      <c r="A424" s="4"/>
      <c r="B424" s="7"/>
      <c r="C424" s="7"/>
      <c r="D424" s="7"/>
      <c r="E424" s="7"/>
      <c r="F424" s="7"/>
    </row>
    <row r="425">
      <c r="A425" s="4"/>
      <c r="B425" s="7"/>
      <c r="C425" s="7"/>
      <c r="D425" s="7"/>
      <c r="E425" s="7"/>
      <c r="F425" s="7"/>
    </row>
    <row r="426">
      <c r="A426" s="4"/>
      <c r="B426" s="7"/>
      <c r="C426" s="7"/>
      <c r="D426" s="7"/>
      <c r="E426" s="7"/>
      <c r="F426" s="7"/>
    </row>
    <row r="427">
      <c r="A427" s="4"/>
      <c r="B427" s="7"/>
      <c r="C427" s="7"/>
      <c r="D427" s="7"/>
      <c r="E427" s="7"/>
      <c r="F427" s="7"/>
    </row>
    <row r="428">
      <c r="A428" s="4"/>
      <c r="B428" s="7"/>
      <c r="C428" s="7"/>
      <c r="D428" s="7"/>
      <c r="E428" s="7"/>
      <c r="F428" s="7"/>
    </row>
    <row r="429">
      <c r="A429" s="4"/>
      <c r="B429" s="7"/>
      <c r="C429" s="7"/>
      <c r="D429" s="7"/>
      <c r="E429" s="7"/>
      <c r="F429" s="7"/>
    </row>
    <row r="430">
      <c r="A430" s="4"/>
      <c r="B430" s="7"/>
      <c r="C430" s="7"/>
      <c r="D430" s="7"/>
      <c r="E430" s="7"/>
      <c r="F430" s="7"/>
    </row>
    <row r="431">
      <c r="A431" s="4"/>
      <c r="B431" s="7"/>
      <c r="C431" s="7"/>
      <c r="D431" s="7"/>
      <c r="E431" s="7"/>
      <c r="F431" s="7"/>
    </row>
    <row r="432">
      <c r="A432" s="4"/>
      <c r="B432" s="7"/>
      <c r="C432" s="7"/>
      <c r="D432" s="7"/>
      <c r="E432" s="7"/>
      <c r="F432" s="7"/>
    </row>
    <row r="433">
      <c r="A433" s="4"/>
      <c r="B433" s="7"/>
      <c r="C433" s="7"/>
      <c r="D433" s="7"/>
      <c r="E433" s="7"/>
      <c r="F433" s="7"/>
    </row>
    <row r="434">
      <c r="A434" s="4"/>
      <c r="B434" s="7"/>
      <c r="C434" s="7"/>
      <c r="D434" s="7"/>
      <c r="E434" s="7"/>
      <c r="F434" s="7"/>
    </row>
    <row r="435">
      <c r="A435" s="4"/>
      <c r="B435" s="7"/>
      <c r="C435" s="7"/>
      <c r="D435" s="7"/>
      <c r="E435" s="7"/>
      <c r="F435" s="7"/>
    </row>
    <row r="436">
      <c r="A436" s="4"/>
      <c r="B436" s="7"/>
      <c r="C436" s="7"/>
      <c r="D436" s="7"/>
      <c r="E436" s="7"/>
      <c r="F436" s="7"/>
    </row>
    <row r="437">
      <c r="A437" s="4"/>
      <c r="B437" s="7"/>
      <c r="C437" s="7"/>
      <c r="D437" s="7"/>
      <c r="E437" s="7"/>
      <c r="F437" s="7"/>
    </row>
    <row r="438">
      <c r="A438" s="4"/>
      <c r="B438" s="7"/>
      <c r="C438" s="7"/>
      <c r="D438" s="7"/>
      <c r="E438" s="7"/>
      <c r="F438" s="7"/>
    </row>
    <row r="439">
      <c r="A439" s="4"/>
      <c r="B439" s="7"/>
      <c r="C439" s="7"/>
      <c r="D439" s="7"/>
      <c r="E439" s="7"/>
      <c r="F439" s="7"/>
    </row>
    <row r="440">
      <c r="A440" s="4"/>
      <c r="B440" s="7"/>
      <c r="C440" s="7"/>
      <c r="D440" s="7"/>
      <c r="E440" s="7"/>
      <c r="F440" s="7"/>
    </row>
    <row r="441">
      <c r="A441" s="4"/>
      <c r="B441" s="7"/>
      <c r="C441" s="7"/>
      <c r="D441" s="7"/>
      <c r="E441" s="7"/>
      <c r="F441" s="7"/>
    </row>
    <row r="442">
      <c r="A442" s="4"/>
      <c r="B442" s="7"/>
      <c r="C442" s="7"/>
      <c r="D442" s="7"/>
      <c r="E442" s="7"/>
      <c r="F442" s="7"/>
    </row>
    <row r="443">
      <c r="A443" s="4"/>
      <c r="B443" s="7"/>
      <c r="C443" s="7"/>
      <c r="D443" s="7"/>
      <c r="E443" s="7"/>
      <c r="F443" s="7"/>
    </row>
    <row r="444">
      <c r="A444" s="4"/>
      <c r="B444" s="7"/>
      <c r="C444" s="7"/>
      <c r="D444" s="7"/>
      <c r="E444" s="7"/>
      <c r="F444" s="7"/>
    </row>
    <row r="445">
      <c r="A445" s="4"/>
      <c r="B445" s="7"/>
      <c r="C445" s="7"/>
      <c r="D445" s="7"/>
      <c r="E445" s="7"/>
      <c r="F445" s="7"/>
    </row>
    <row r="446">
      <c r="A446" s="4"/>
      <c r="B446" s="7"/>
      <c r="C446" s="7"/>
      <c r="D446" s="7"/>
      <c r="E446" s="7"/>
      <c r="F446" s="7"/>
    </row>
    <row r="447">
      <c r="A447" s="4"/>
      <c r="B447" s="7"/>
      <c r="C447" s="7"/>
      <c r="D447" s="7"/>
      <c r="E447" s="7"/>
      <c r="F447" s="7"/>
    </row>
    <row r="448">
      <c r="A448" s="4"/>
      <c r="B448" s="7"/>
      <c r="C448" s="7"/>
      <c r="D448" s="7"/>
      <c r="E448" s="7"/>
      <c r="F448" s="7"/>
    </row>
    <row r="449">
      <c r="A449" s="4"/>
      <c r="B449" s="7"/>
      <c r="C449" s="7"/>
      <c r="D449" s="7"/>
      <c r="E449" s="7"/>
      <c r="F449" s="7"/>
    </row>
    <row r="450">
      <c r="A450" s="4"/>
      <c r="B450" s="7"/>
      <c r="C450" s="7"/>
      <c r="D450" s="7"/>
      <c r="E450" s="7"/>
      <c r="F450" s="7"/>
    </row>
    <row r="451">
      <c r="A451" s="4"/>
      <c r="B451" s="7"/>
      <c r="C451" s="7"/>
      <c r="D451" s="7"/>
      <c r="E451" s="7"/>
      <c r="F451" s="7"/>
    </row>
    <row r="452">
      <c r="A452" s="4"/>
      <c r="B452" s="7"/>
      <c r="C452" s="7"/>
      <c r="D452" s="7"/>
      <c r="E452" s="7"/>
      <c r="F452" s="7"/>
    </row>
    <row r="453">
      <c r="A453" s="4"/>
      <c r="B453" s="7"/>
      <c r="C453" s="7"/>
      <c r="D453" s="7"/>
      <c r="E453" s="7"/>
      <c r="F453" s="7"/>
    </row>
    <row r="454">
      <c r="A454" s="4"/>
      <c r="B454" s="7"/>
      <c r="C454" s="7"/>
      <c r="D454" s="7"/>
      <c r="E454" s="7"/>
      <c r="F454" s="7"/>
    </row>
    <row r="455">
      <c r="A455" s="4"/>
      <c r="B455" s="7"/>
      <c r="C455" s="7"/>
      <c r="D455" s="7"/>
      <c r="E455" s="7"/>
      <c r="F455" s="7"/>
    </row>
    <row r="456">
      <c r="A456" s="4"/>
      <c r="B456" s="7"/>
      <c r="C456" s="7"/>
      <c r="D456" s="7"/>
      <c r="E456" s="7"/>
      <c r="F456" s="7"/>
    </row>
    <row r="457">
      <c r="A457" s="4"/>
      <c r="B457" s="7"/>
      <c r="C457" s="7"/>
      <c r="D457" s="7"/>
      <c r="E457" s="7"/>
      <c r="F457" s="7"/>
    </row>
    <row r="458">
      <c r="A458" s="4"/>
      <c r="B458" s="7"/>
      <c r="C458" s="7"/>
      <c r="D458" s="7"/>
      <c r="E458" s="7"/>
      <c r="F458" s="7"/>
    </row>
    <row r="459">
      <c r="A459" s="4"/>
      <c r="B459" s="7"/>
      <c r="C459" s="7"/>
      <c r="D459" s="7"/>
      <c r="E459" s="7"/>
      <c r="F459" s="7"/>
    </row>
    <row r="460">
      <c r="A460" s="4"/>
      <c r="B460" s="7"/>
      <c r="C460" s="7"/>
      <c r="D460" s="7"/>
      <c r="E460" s="7"/>
      <c r="F460" s="7"/>
    </row>
    <row r="461">
      <c r="A461" s="4"/>
      <c r="B461" s="7"/>
      <c r="C461" s="7"/>
      <c r="D461" s="7"/>
      <c r="E461" s="7"/>
      <c r="F461" s="7"/>
    </row>
    <row r="462">
      <c r="A462" s="4"/>
      <c r="B462" s="7"/>
      <c r="C462" s="7"/>
      <c r="D462" s="7"/>
      <c r="E462" s="7"/>
      <c r="F462" s="7"/>
    </row>
    <row r="463">
      <c r="A463" s="4"/>
      <c r="B463" s="7"/>
      <c r="C463" s="7"/>
      <c r="D463" s="7"/>
      <c r="E463" s="7"/>
      <c r="F463" s="7"/>
    </row>
    <row r="464">
      <c r="A464" s="4"/>
      <c r="B464" s="7"/>
      <c r="C464" s="7"/>
      <c r="D464" s="7"/>
      <c r="E464" s="7"/>
      <c r="F464" s="7"/>
    </row>
    <row r="465">
      <c r="A465" s="4"/>
      <c r="B465" s="7"/>
      <c r="C465" s="7"/>
      <c r="D465" s="7"/>
      <c r="E465" s="7"/>
      <c r="F465" s="7"/>
    </row>
    <row r="466">
      <c r="A466" s="4"/>
      <c r="B466" s="7"/>
      <c r="C466" s="7"/>
      <c r="D466" s="7"/>
      <c r="E466" s="7"/>
      <c r="F466" s="7"/>
    </row>
    <row r="467">
      <c r="A467" s="4"/>
      <c r="B467" s="7"/>
      <c r="C467" s="7"/>
      <c r="D467" s="7"/>
      <c r="E467" s="7"/>
      <c r="F467" s="7"/>
    </row>
    <row r="468">
      <c r="A468" s="4"/>
      <c r="B468" s="7"/>
      <c r="C468" s="7"/>
      <c r="D468" s="7"/>
      <c r="E468" s="7"/>
      <c r="F468" s="7"/>
    </row>
    <row r="469">
      <c r="A469" s="4"/>
      <c r="B469" s="7"/>
      <c r="C469" s="7"/>
      <c r="D469" s="7"/>
      <c r="E469" s="7"/>
      <c r="F469" s="7"/>
    </row>
    <row r="470">
      <c r="A470" s="4"/>
      <c r="B470" s="7"/>
      <c r="C470" s="7"/>
      <c r="D470" s="7"/>
      <c r="E470" s="7"/>
      <c r="F470" s="7"/>
    </row>
    <row r="471">
      <c r="A471" s="4"/>
      <c r="B471" s="7"/>
      <c r="C471" s="7"/>
      <c r="D471" s="7"/>
      <c r="E471" s="7"/>
      <c r="F471" s="7"/>
    </row>
    <row r="472">
      <c r="A472" s="4"/>
      <c r="B472" s="7"/>
      <c r="C472" s="7"/>
      <c r="D472" s="7"/>
      <c r="E472" s="7"/>
      <c r="F472" s="7"/>
    </row>
    <row r="473">
      <c r="A473" s="4"/>
      <c r="B473" s="7"/>
      <c r="C473" s="7"/>
      <c r="D473" s="7"/>
      <c r="E473" s="7"/>
      <c r="F473" s="7"/>
    </row>
    <row r="474">
      <c r="A474" s="4"/>
      <c r="B474" s="7"/>
      <c r="C474" s="7"/>
      <c r="D474" s="7"/>
      <c r="E474" s="7"/>
      <c r="F474" s="7"/>
    </row>
    <row r="475">
      <c r="A475" s="4"/>
      <c r="B475" s="7"/>
      <c r="C475" s="7"/>
      <c r="D475" s="7"/>
      <c r="E475" s="7"/>
      <c r="F475" s="7"/>
    </row>
    <row r="476">
      <c r="A476" s="4"/>
      <c r="B476" s="7"/>
      <c r="C476" s="7"/>
      <c r="D476" s="7"/>
      <c r="E476" s="7"/>
      <c r="F476" s="7"/>
    </row>
    <row r="477">
      <c r="A477" s="4"/>
      <c r="B477" s="7"/>
      <c r="C477" s="7"/>
      <c r="D477" s="7"/>
      <c r="E477" s="7"/>
      <c r="F477" s="7"/>
    </row>
    <row r="478">
      <c r="A478" s="4"/>
      <c r="B478" s="7"/>
      <c r="C478" s="7"/>
      <c r="D478" s="7"/>
      <c r="E478" s="7"/>
      <c r="F478" s="7"/>
    </row>
    <row r="479">
      <c r="A479" s="4"/>
      <c r="B479" s="7"/>
      <c r="C479" s="7"/>
      <c r="D479" s="7"/>
      <c r="E479" s="7"/>
      <c r="F479" s="7"/>
    </row>
    <row r="480">
      <c r="A480" s="4"/>
      <c r="B480" s="7"/>
      <c r="C480" s="7"/>
      <c r="D480" s="7"/>
      <c r="E480" s="7"/>
      <c r="F480" s="7"/>
    </row>
    <row r="481">
      <c r="A481" s="4"/>
      <c r="B481" s="7"/>
      <c r="C481" s="7"/>
      <c r="D481" s="7"/>
      <c r="E481" s="7"/>
      <c r="F481" s="7"/>
    </row>
    <row r="482">
      <c r="A482" s="4"/>
      <c r="B482" s="7"/>
      <c r="C482" s="7"/>
      <c r="D482" s="7"/>
      <c r="E482" s="7"/>
      <c r="F482" s="7"/>
    </row>
    <row r="483">
      <c r="A483" s="4"/>
      <c r="B483" s="7"/>
      <c r="C483" s="7"/>
      <c r="D483" s="7"/>
      <c r="E483" s="7"/>
      <c r="F483" s="7"/>
    </row>
    <row r="484">
      <c r="A484" s="4"/>
      <c r="B484" s="7"/>
      <c r="C484" s="7"/>
      <c r="D484" s="7"/>
      <c r="E484" s="7"/>
      <c r="F484" s="7"/>
    </row>
    <row r="485">
      <c r="A485" s="4"/>
      <c r="B485" s="7"/>
      <c r="C485" s="7"/>
      <c r="D485" s="7"/>
      <c r="E485" s="7"/>
      <c r="F485" s="7"/>
    </row>
    <row r="486">
      <c r="A486" s="4"/>
      <c r="B486" s="7"/>
      <c r="C486" s="7"/>
      <c r="D486" s="7"/>
      <c r="E486" s="7"/>
      <c r="F486" s="7"/>
    </row>
    <row r="487">
      <c r="A487" s="4"/>
      <c r="B487" s="7"/>
      <c r="C487" s="7"/>
      <c r="D487" s="7"/>
      <c r="E487" s="7"/>
      <c r="F487" s="7"/>
    </row>
    <row r="488">
      <c r="A488" s="4"/>
      <c r="B488" s="7"/>
      <c r="C488" s="7"/>
      <c r="D488" s="7"/>
      <c r="E488" s="7"/>
      <c r="F488" s="7"/>
    </row>
    <row r="489">
      <c r="A489" s="4"/>
      <c r="B489" s="7"/>
      <c r="C489" s="7"/>
      <c r="D489" s="7"/>
      <c r="E489" s="7"/>
      <c r="F489" s="7"/>
    </row>
    <row r="490">
      <c r="A490" s="4"/>
      <c r="B490" s="7"/>
      <c r="C490" s="7"/>
      <c r="D490" s="7"/>
      <c r="E490" s="7"/>
      <c r="F490" s="7"/>
    </row>
    <row r="491">
      <c r="A491" s="4"/>
      <c r="B491" s="7"/>
      <c r="C491" s="7"/>
      <c r="D491" s="7"/>
      <c r="E491" s="7"/>
      <c r="F491" s="7"/>
    </row>
    <row r="492">
      <c r="A492" s="4"/>
      <c r="B492" s="7"/>
      <c r="C492" s="7"/>
      <c r="D492" s="7"/>
      <c r="E492" s="7"/>
      <c r="F492" s="7"/>
    </row>
    <row r="493">
      <c r="A493" s="4"/>
      <c r="B493" s="7"/>
      <c r="C493" s="7"/>
      <c r="D493" s="7"/>
      <c r="E493" s="7"/>
      <c r="F493" s="7"/>
    </row>
    <row r="494">
      <c r="A494" s="4"/>
      <c r="B494" s="7"/>
      <c r="C494" s="7"/>
      <c r="D494" s="7"/>
      <c r="E494" s="7"/>
      <c r="F494" s="7"/>
    </row>
    <row r="495">
      <c r="A495" s="4"/>
      <c r="B495" s="7"/>
      <c r="C495" s="7"/>
      <c r="D495" s="7"/>
      <c r="E495" s="7"/>
      <c r="F495" s="7"/>
    </row>
    <row r="496">
      <c r="A496" s="4"/>
      <c r="B496" s="7"/>
      <c r="C496" s="7"/>
      <c r="D496" s="7"/>
      <c r="E496" s="7"/>
      <c r="F496" s="7"/>
    </row>
    <row r="497">
      <c r="A497" s="4"/>
      <c r="B497" s="7"/>
      <c r="C497" s="7"/>
      <c r="D497" s="7"/>
      <c r="E497" s="7"/>
      <c r="F497" s="7"/>
    </row>
    <row r="498">
      <c r="A498" s="4"/>
      <c r="B498" s="7"/>
      <c r="C498" s="7"/>
      <c r="D498" s="7"/>
      <c r="E498" s="7"/>
      <c r="F498" s="7"/>
    </row>
    <row r="499">
      <c r="A499" s="4"/>
      <c r="B499" s="7"/>
      <c r="C499" s="7"/>
      <c r="D499" s="7"/>
      <c r="E499" s="7"/>
      <c r="F499" s="7"/>
    </row>
    <row r="500">
      <c r="A500" s="4"/>
      <c r="B500" s="7"/>
      <c r="C500" s="7"/>
      <c r="D500" s="7"/>
      <c r="E500" s="7"/>
      <c r="F500" s="7"/>
    </row>
    <row r="501">
      <c r="A501" s="4"/>
      <c r="B501" s="7"/>
      <c r="C501" s="7"/>
      <c r="D501" s="7"/>
      <c r="E501" s="7"/>
      <c r="F501" s="7"/>
    </row>
    <row r="502">
      <c r="A502" s="4"/>
      <c r="B502" s="7"/>
      <c r="C502" s="7"/>
      <c r="D502" s="7"/>
      <c r="E502" s="7"/>
      <c r="F502" s="7"/>
    </row>
    <row r="503">
      <c r="A503" s="4"/>
      <c r="B503" s="7"/>
      <c r="C503" s="7"/>
      <c r="D503" s="7"/>
      <c r="E503" s="7"/>
      <c r="F503" s="7"/>
    </row>
    <row r="504">
      <c r="A504" s="4"/>
      <c r="B504" s="7"/>
      <c r="C504" s="7"/>
      <c r="D504" s="7"/>
      <c r="E504" s="7"/>
      <c r="F504" s="7"/>
    </row>
    <row r="505">
      <c r="A505" s="4"/>
      <c r="B505" s="7"/>
      <c r="C505" s="7"/>
      <c r="D505" s="7"/>
      <c r="E505" s="7"/>
      <c r="F505" s="7"/>
    </row>
    <row r="506">
      <c r="A506" s="4"/>
      <c r="B506" s="7"/>
      <c r="C506" s="7"/>
      <c r="D506" s="7"/>
      <c r="E506" s="7"/>
      <c r="F506" s="7"/>
    </row>
    <row r="507">
      <c r="A507" s="4"/>
      <c r="B507" s="7"/>
      <c r="C507" s="7"/>
      <c r="D507" s="7"/>
      <c r="E507" s="7"/>
      <c r="F507" s="7"/>
    </row>
    <row r="508">
      <c r="A508" s="4"/>
      <c r="B508" s="7"/>
      <c r="C508" s="7"/>
      <c r="D508" s="7"/>
      <c r="E508" s="7"/>
      <c r="F508" s="7"/>
    </row>
    <row r="509">
      <c r="A509" s="4"/>
      <c r="B509" s="7"/>
      <c r="C509" s="7"/>
      <c r="D509" s="7"/>
      <c r="E509" s="7"/>
      <c r="F509" s="7"/>
    </row>
    <row r="510">
      <c r="A510" s="4"/>
      <c r="B510" s="7"/>
      <c r="C510" s="7"/>
      <c r="D510" s="7"/>
      <c r="E510" s="7"/>
      <c r="F510" s="7"/>
    </row>
    <row r="511">
      <c r="A511" s="4"/>
      <c r="B511" s="7"/>
      <c r="C511" s="7"/>
      <c r="D511" s="7"/>
      <c r="E511" s="7"/>
      <c r="F511" s="7"/>
    </row>
    <row r="512">
      <c r="A512" s="4"/>
      <c r="B512" s="7"/>
      <c r="C512" s="7"/>
      <c r="D512" s="7"/>
      <c r="E512" s="7"/>
      <c r="F512" s="7"/>
    </row>
    <row r="513">
      <c r="A513" s="4"/>
      <c r="B513" s="7"/>
      <c r="C513" s="7"/>
      <c r="D513" s="7"/>
      <c r="E513" s="7"/>
      <c r="F513" s="7"/>
    </row>
    <row r="514">
      <c r="A514" s="4"/>
      <c r="B514" s="7"/>
      <c r="C514" s="7"/>
      <c r="D514" s="7"/>
      <c r="E514" s="7"/>
      <c r="F514" s="7"/>
    </row>
    <row r="515">
      <c r="A515" s="4"/>
      <c r="B515" s="7"/>
      <c r="C515" s="7"/>
      <c r="D515" s="7"/>
      <c r="E515" s="7"/>
      <c r="F515" s="7"/>
    </row>
    <row r="516">
      <c r="A516" s="4"/>
      <c r="B516" s="7"/>
      <c r="C516" s="7"/>
      <c r="D516" s="7"/>
      <c r="E516" s="7"/>
      <c r="F516" s="7"/>
    </row>
    <row r="517">
      <c r="A517" s="4"/>
      <c r="B517" s="7"/>
      <c r="C517" s="7"/>
      <c r="D517" s="7"/>
      <c r="E517" s="7"/>
      <c r="F517" s="7"/>
    </row>
    <row r="518">
      <c r="A518" s="4"/>
      <c r="B518" s="7"/>
      <c r="C518" s="7"/>
      <c r="D518" s="7"/>
      <c r="E518" s="7"/>
      <c r="F518" s="7"/>
    </row>
    <row r="519">
      <c r="A519" s="4"/>
      <c r="B519" s="7"/>
      <c r="C519" s="7"/>
      <c r="D519" s="7"/>
      <c r="E519" s="7"/>
      <c r="F519" s="7"/>
    </row>
    <row r="520">
      <c r="A520" s="4"/>
      <c r="B520" s="7"/>
      <c r="C520" s="7"/>
      <c r="D520" s="7"/>
      <c r="E520" s="7"/>
      <c r="F520" s="7"/>
    </row>
    <row r="521">
      <c r="A521" s="4"/>
      <c r="B521" s="7"/>
      <c r="C521" s="7"/>
      <c r="D521" s="7"/>
      <c r="E521" s="7"/>
      <c r="F521" s="7"/>
    </row>
    <row r="522">
      <c r="A522" s="4"/>
      <c r="B522" s="7"/>
      <c r="C522" s="7"/>
      <c r="D522" s="7"/>
      <c r="E522" s="7"/>
      <c r="F522" s="7"/>
    </row>
    <row r="523">
      <c r="A523" s="4"/>
      <c r="B523" s="7"/>
      <c r="C523" s="7"/>
      <c r="D523" s="7"/>
      <c r="E523" s="7"/>
      <c r="F523" s="7"/>
    </row>
    <row r="524">
      <c r="A524" s="4"/>
      <c r="B524" s="7"/>
      <c r="C524" s="7"/>
      <c r="D524" s="7"/>
      <c r="E524" s="7"/>
      <c r="F524" s="7"/>
    </row>
    <row r="525">
      <c r="A525" s="4"/>
      <c r="B525" s="7"/>
      <c r="C525" s="7"/>
      <c r="D525" s="7"/>
      <c r="E525" s="7"/>
      <c r="F525" s="7"/>
    </row>
    <row r="526">
      <c r="A526" s="4"/>
      <c r="B526" s="7"/>
      <c r="C526" s="7"/>
      <c r="D526" s="7"/>
      <c r="E526" s="7"/>
      <c r="F526" s="7"/>
    </row>
    <row r="527">
      <c r="A527" s="4"/>
      <c r="B527" s="7"/>
      <c r="C527" s="7"/>
      <c r="D527" s="7"/>
      <c r="E527" s="7"/>
      <c r="F527" s="7"/>
    </row>
    <row r="528">
      <c r="A528" s="4"/>
      <c r="B528" s="7"/>
      <c r="C528" s="7"/>
      <c r="D528" s="7"/>
      <c r="E528" s="7"/>
      <c r="F528" s="7"/>
    </row>
    <row r="529">
      <c r="A529" s="4"/>
      <c r="B529" s="7"/>
      <c r="C529" s="7"/>
      <c r="D529" s="7"/>
      <c r="E529" s="7"/>
      <c r="F529" s="7"/>
    </row>
    <row r="530">
      <c r="A530" s="4"/>
      <c r="B530" s="7"/>
      <c r="C530" s="7"/>
      <c r="D530" s="7"/>
      <c r="E530" s="7"/>
      <c r="F530" s="7"/>
    </row>
    <row r="531">
      <c r="A531" s="4"/>
      <c r="B531" s="7"/>
      <c r="C531" s="7"/>
      <c r="D531" s="7"/>
      <c r="E531" s="7"/>
      <c r="F531" s="7"/>
    </row>
    <row r="532">
      <c r="A532" s="4"/>
      <c r="B532" s="7"/>
      <c r="C532" s="7"/>
      <c r="D532" s="7"/>
      <c r="E532" s="7"/>
      <c r="F532" s="7"/>
    </row>
    <row r="533">
      <c r="A533" s="4"/>
      <c r="B533" s="7"/>
      <c r="C533" s="7"/>
      <c r="D533" s="7"/>
      <c r="E533" s="7"/>
      <c r="F533" s="7"/>
    </row>
    <row r="534">
      <c r="A534" s="4"/>
      <c r="B534" s="7"/>
      <c r="C534" s="7"/>
      <c r="D534" s="7"/>
      <c r="E534" s="7"/>
      <c r="F534" s="7"/>
    </row>
    <row r="535">
      <c r="A535" s="4"/>
      <c r="B535" s="7"/>
      <c r="C535" s="7"/>
      <c r="D535" s="7"/>
      <c r="E535" s="7"/>
      <c r="F535" s="7"/>
    </row>
    <row r="536">
      <c r="A536" s="4"/>
      <c r="B536" s="7"/>
      <c r="C536" s="7"/>
      <c r="D536" s="7"/>
      <c r="E536" s="7"/>
      <c r="F536" s="7"/>
    </row>
    <row r="537">
      <c r="A537" s="4"/>
      <c r="B537" s="7"/>
      <c r="C537" s="7"/>
      <c r="D537" s="7"/>
      <c r="E537" s="7"/>
      <c r="F537" s="7"/>
    </row>
    <row r="538">
      <c r="A538" s="4"/>
      <c r="B538" s="7"/>
      <c r="C538" s="7"/>
      <c r="D538" s="7"/>
      <c r="E538" s="7"/>
      <c r="F538" s="7"/>
    </row>
    <row r="539">
      <c r="A539" s="4"/>
      <c r="B539" s="7"/>
      <c r="C539" s="7"/>
      <c r="D539" s="7"/>
      <c r="E539" s="7"/>
      <c r="F539" s="7"/>
    </row>
    <row r="540">
      <c r="A540" s="4"/>
      <c r="B540" s="7"/>
      <c r="C540" s="7"/>
      <c r="D540" s="7"/>
      <c r="E540" s="7"/>
      <c r="F540" s="7"/>
    </row>
    <row r="541">
      <c r="A541" s="4"/>
      <c r="B541" s="7"/>
      <c r="C541" s="7"/>
      <c r="D541" s="7"/>
      <c r="E541" s="7"/>
      <c r="F541" s="7"/>
    </row>
    <row r="542">
      <c r="A542" s="4"/>
      <c r="B542" s="7"/>
      <c r="C542" s="7"/>
      <c r="D542" s="7"/>
      <c r="E542" s="7"/>
      <c r="F542" s="7"/>
    </row>
    <row r="543">
      <c r="A543" s="4"/>
      <c r="B543" s="7"/>
      <c r="C543" s="7"/>
      <c r="D543" s="7"/>
      <c r="E543" s="7"/>
      <c r="F543" s="7"/>
    </row>
    <row r="544">
      <c r="A544" s="4"/>
      <c r="B544" s="7"/>
      <c r="C544" s="7"/>
      <c r="D544" s="7"/>
      <c r="E544" s="7"/>
      <c r="F544" s="7"/>
    </row>
    <row r="545">
      <c r="A545" s="4"/>
      <c r="B545" s="7"/>
      <c r="C545" s="7"/>
      <c r="D545" s="7"/>
      <c r="E545" s="7"/>
      <c r="F545" s="7"/>
    </row>
    <row r="546">
      <c r="A546" s="4"/>
      <c r="B546" s="7"/>
      <c r="C546" s="7"/>
      <c r="D546" s="7"/>
      <c r="E546" s="7"/>
      <c r="F546" s="7"/>
    </row>
    <row r="547">
      <c r="A547" s="4"/>
      <c r="B547" s="7"/>
      <c r="C547" s="7"/>
      <c r="D547" s="7"/>
      <c r="E547" s="7"/>
      <c r="F547" s="7"/>
    </row>
    <row r="548">
      <c r="A548" s="4"/>
      <c r="B548" s="7"/>
      <c r="C548" s="7"/>
      <c r="D548" s="7"/>
      <c r="E548" s="7"/>
      <c r="F548" s="7"/>
    </row>
    <row r="549">
      <c r="A549" s="4"/>
      <c r="B549" s="7"/>
      <c r="C549" s="7"/>
      <c r="D549" s="7"/>
      <c r="E549" s="7"/>
      <c r="F549" s="7"/>
    </row>
    <row r="550">
      <c r="A550" s="4"/>
      <c r="B550" s="7"/>
      <c r="C550" s="7"/>
      <c r="D550" s="7"/>
      <c r="E550" s="7"/>
      <c r="F550" s="7"/>
    </row>
    <row r="551">
      <c r="A551" s="4"/>
      <c r="B551" s="7"/>
      <c r="C551" s="7"/>
      <c r="D551" s="7"/>
      <c r="E551" s="7"/>
      <c r="F551" s="7"/>
    </row>
    <row r="552">
      <c r="A552" s="4"/>
      <c r="B552" s="7"/>
      <c r="C552" s="7"/>
      <c r="D552" s="7"/>
      <c r="E552" s="7"/>
      <c r="F552" s="7"/>
    </row>
    <row r="553">
      <c r="A553" s="4"/>
      <c r="B553" s="7"/>
      <c r="C553" s="7"/>
      <c r="D553" s="7"/>
      <c r="E553" s="7"/>
      <c r="F553" s="7"/>
    </row>
    <row r="554">
      <c r="A554" s="4"/>
      <c r="B554" s="7"/>
      <c r="C554" s="7"/>
      <c r="D554" s="7"/>
      <c r="E554" s="7"/>
      <c r="F554" s="7"/>
    </row>
    <row r="555">
      <c r="A555" s="4"/>
      <c r="B555" s="7"/>
      <c r="C555" s="7"/>
      <c r="D555" s="7"/>
      <c r="E555" s="7"/>
      <c r="F555" s="7"/>
    </row>
    <row r="556">
      <c r="A556" s="4"/>
      <c r="B556" s="7"/>
      <c r="C556" s="7"/>
      <c r="D556" s="7"/>
      <c r="E556" s="7"/>
      <c r="F556" s="7"/>
    </row>
    <row r="557">
      <c r="A557" s="4"/>
      <c r="B557" s="7"/>
      <c r="C557" s="7"/>
      <c r="D557" s="7"/>
      <c r="E557" s="7"/>
      <c r="F557" s="7"/>
    </row>
    <row r="558">
      <c r="A558" s="4"/>
      <c r="B558" s="7"/>
      <c r="C558" s="7"/>
      <c r="D558" s="7"/>
      <c r="E558" s="7"/>
      <c r="F558" s="7"/>
    </row>
    <row r="559">
      <c r="A559" s="4"/>
      <c r="B559" s="7"/>
      <c r="C559" s="7"/>
      <c r="D559" s="7"/>
      <c r="E559" s="7"/>
      <c r="F559" s="7"/>
    </row>
    <row r="560">
      <c r="A560" s="4"/>
      <c r="B560" s="7"/>
      <c r="C560" s="7"/>
      <c r="D560" s="7"/>
      <c r="E560" s="7"/>
      <c r="F560" s="7"/>
    </row>
    <row r="561">
      <c r="A561" s="4"/>
      <c r="B561" s="7"/>
      <c r="C561" s="7"/>
      <c r="D561" s="7"/>
      <c r="E561" s="7"/>
      <c r="F561" s="7"/>
    </row>
    <row r="562">
      <c r="A562" s="4"/>
      <c r="B562" s="7"/>
      <c r="C562" s="7"/>
      <c r="D562" s="7"/>
      <c r="E562" s="7"/>
      <c r="F562" s="7"/>
    </row>
    <row r="563">
      <c r="A563" s="4"/>
      <c r="B563" s="7"/>
      <c r="C563" s="7"/>
      <c r="D563" s="7"/>
      <c r="E563" s="7"/>
      <c r="F563" s="7"/>
    </row>
    <row r="564">
      <c r="A564" s="4"/>
      <c r="B564" s="7"/>
      <c r="C564" s="7"/>
      <c r="D564" s="7"/>
      <c r="E564" s="7"/>
      <c r="F564" s="7"/>
    </row>
    <row r="565">
      <c r="A565" s="4"/>
      <c r="B565" s="7"/>
      <c r="C565" s="7"/>
      <c r="D565" s="7"/>
      <c r="E565" s="7"/>
      <c r="F565" s="7"/>
    </row>
    <row r="566">
      <c r="A566" s="4"/>
      <c r="B566" s="7"/>
      <c r="C566" s="7"/>
      <c r="D566" s="7"/>
      <c r="E566" s="7"/>
      <c r="F566" s="7"/>
    </row>
    <row r="567">
      <c r="A567" s="4"/>
      <c r="B567" s="7"/>
      <c r="C567" s="7"/>
      <c r="D567" s="7"/>
      <c r="E567" s="7"/>
      <c r="F567" s="7"/>
    </row>
    <row r="568">
      <c r="A568" s="4"/>
      <c r="B568" s="7"/>
      <c r="C568" s="7"/>
      <c r="D568" s="7"/>
      <c r="E568" s="7"/>
      <c r="F568" s="7"/>
    </row>
    <row r="569">
      <c r="A569" s="4"/>
      <c r="B569" s="7"/>
      <c r="C569" s="7"/>
      <c r="D569" s="7"/>
      <c r="E569" s="7"/>
      <c r="F569" s="7"/>
    </row>
    <row r="570">
      <c r="A570" s="4"/>
      <c r="B570" s="7"/>
      <c r="C570" s="7"/>
      <c r="D570" s="7"/>
      <c r="E570" s="7"/>
      <c r="F570" s="7"/>
    </row>
    <row r="571">
      <c r="A571" s="4"/>
      <c r="B571" s="7"/>
      <c r="C571" s="7"/>
      <c r="D571" s="7"/>
      <c r="E571" s="7"/>
      <c r="F571" s="7"/>
    </row>
    <row r="572">
      <c r="A572" s="4"/>
      <c r="B572" s="7"/>
      <c r="C572" s="7"/>
      <c r="D572" s="7"/>
      <c r="E572" s="7"/>
      <c r="F572" s="7"/>
    </row>
    <row r="573">
      <c r="A573" s="4"/>
      <c r="B573" s="7"/>
      <c r="C573" s="7"/>
      <c r="D573" s="7"/>
      <c r="E573" s="7"/>
      <c r="F573" s="7"/>
    </row>
    <row r="574">
      <c r="A574" s="4"/>
      <c r="B574" s="7"/>
      <c r="C574" s="7"/>
      <c r="D574" s="7"/>
      <c r="E574" s="7"/>
      <c r="F574" s="7"/>
    </row>
    <row r="575">
      <c r="A575" s="4"/>
      <c r="B575" s="7"/>
      <c r="C575" s="7"/>
      <c r="D575" s="7"/>
      <c r="E575" s="7"/>
      <c r="F575" s="7"/>
    </row>
    <row r="576">
      <c r="A576" s="4"/>
      <c r="B576" s="7"/>
      <c r="C576" s="7"/>
      <c r="D576" s="7"/>
      <c r="E576" s="7"/>
      <c r="F576" s="7"/>
    </row>
    <row r="577">
      <c r="A577" s="4"/>
      <c r="B577" s="7"/>
      <c r="C577" s="7"/>
      <c r="D577" s="7"/>
      <c r="E577" s="7"/>
      <c r="F577" s="7"/>
    </row>
    <row r="578">
      <c r="A578" s="4"/>
      <c r="B578" s="7"/>
      <c r="C578" s="7"/>
      <c r="D578" s="7"/>
      <c r="E578" s="7"/>
      <c r="F578" s="7"/>
    </row>
    <row r="579">
      <c r="A579" s="4"/>
      <c r="B579" s="7"/>
      <c r="C579" s="7"/>
      <c r="D579" s="7"/>
      <c r="E579" s="7"/>
      <c r="F579" s="7"/>
    </row>
    <row r="580">
      <c r="A580" s="4"/>
      <c r="B580" s="7"/>
      <c r="C580" s="7"/>
      <c r="D580" s="7"/>
      <c r="E580" s="7"/>
      <c r="F580" s="7"/>
    </row>
    <row r="581">
      <c r="A581" s="4"/>
      <c r="B581" s="7"/>
      <c r="C581" s="7"/>
      <c r="D581" s="7"/>
      <c r="E581" s="7"/>
      <c r="F581" s="7"/>
    </row>
    <row r="582">
      <c r="A582" s="4"/>
      <c r="B582" s="7"/>
      <c r="C582" s="7"/>
      <c r="D582" s="7"/>
      <c r="E582" s="7"/>
      <c r="F582" s="7"/>
    </row>
    <row r="583">
      <c r="A583" s="4"/>
      <c r="B583" s="7"/>
      <c r="C583" s="7"/>
      <c r="D583" s="7"/>
      <c r="E583" s="7"/>
      <c r="F583" s="7"/>
    </row>
    <row r="584">
      <c r="A584" s="4"/>
      <c r="B584" s="7"/>
      <c r="C584" s="7"/>
      <c r="D584" s="7"/>
      <c r="E584" s="7"/>
      <c r="F584" s="7"/>
    </row>
    <row r="585">
      <c r="A585" s="4"/>
      <c r="B585" s="7"/>
      <c r="C585" s="7"/>
      <c r="D585" s="7"/>
      <c r="E585" s="7"/>
      <c r="F585" s="7"/>
    </row>
    <row r="586">
      <c r="A586" s="4"/>
      <c r="B586" s="7"/>
      <c r="C586" s="7"/>
      <c r="D586" s="7"/>
      <c r="E586" s="7"/>
      <c r="F586" s="7"/>
    </row>
    <row r="587">
      <c r="A587" s="4"/>
      <c r="B587" s="7"/>
      <c r="C587" s="7"/>
      <c r="D587" s="7"/>
      <c r="E587" s="7"/>
      <c r="F587" s="7"/>
    </row>
    <row r="588">
      <c r="A588" s="4"/>
      <c r="B588" s="7"/>
      <c r="C588" s="7"/>
      <c r="D588" s="7"/>
      <c r="E588" s="7"/>
      <c r="F588" s="7"/>
    </row>
    <row r="589">
      <c r="A589" s="4"/>
      <c r="B589" s="7"/>
      <c r="C589" s="7"/>
      <c r="D589" s="7"/>
      <c r="E589" s="7"/>
      <c r="F589" s="7"/>
    </row>
    <row r="590">
      <c r="A590" s="4"/>
      <c r="B590" s="7"/>
      <c r="C590" s="7"/>
      <c r="D590" s="7"/>
      <c r="E590" s="7"/>
      <c r="F590" s="7"/>
    </row>
    <row r="591">
      <c r="A591" s="4"/>
      <c r="B591" s="7"/>
      <c r="C591" s="7"/>
      <c r="D591" s="7"/>
      <c r="E591" s="7"/>
      <c r="F591" s="7"/>
    </row>
    <row r="592">
      <c r="A592" s="4"/>
      <c r="B592" s="7"/>
      <c r="C592" s="7"/>
      <c r="D592" s="7"/>
      <c r="E592" s="7"/>
      <c r="F592" s="7"/>
    </row>
    <row r="593">
      <c r="A593" s="4"/>
      <c r="B593" s="7"/>
      <c r="C593" s="7"/>
      <c r="D593" s="7"/>
      <c r="E593" s="7"/>
      <c r="F593" s="7"/>
    </row>
    <row r="594">
      <c r="A594" s="4"/>
      <c r="B594" s="7"/>
      <c r="C594" s="7"/>
      <c r="D594" s="7"/>
      <c r="E594" s="7"/>
      <c r="F594" s="7"/>
    </row>
    <row r="595">
      <c r="A595" s="4"/>
      <c r="B595" s="7"/>
      <c r="C595" s="7"/>
      <c r="D595" s="7"/>
      <c r="E595" s="7"/>
      <c r="F595" s="7"/>
    </row>
    <row r="596">
      <c r="A596" s="4"/>
      <c r="B596" s="7"/>
      <c r="C596" s="7"/>
      <c r="D596" s="7"/>
      <c r="E596" s="7"/>
      <c r="F596" s="7"/>
    </row>
    <row r="597">
      <c r="A597" s="4"/>
      <c r="B597" s="7"/>
      <c r="C597" s="7"/>
      <c r="D597" s="7"/>
      <c r="E597" s="7"/>
      <c r="F597" s="7"/>
    </row>
    <row r="598">
      <c r="A598" s="4"/>
      <c r="B598" s="7"/>
      <c r="C598" s="7"/>
      <c r="D598" s="7"/>
      <c r="E598" s="7"/>
      <c r="F598" s="7"/>
    </row>
    <row r="599">
      <c r="A599" s="4"/>
      <c r="B599" s="7"/>
      <c r="C599" s="7"/>
      <c r="D599" s="7"/>
      <c r="E599" s="7"/>
      <c r="F599" s="7"/>
    </row>
    <row r="600">
      <c r="A600" s="4"/>
      <c r="B600" s="7"/>
      <c r="C600" s="7"/>
      <c r="D600" s="7"/>
      <c r="E600" s="7"/>
      <c r="F600" s="7"/>
    </row>
    <row r="601">
      <c r="A601" s="4"/>
      <c r="B601" s="7"/>
      <c r="C601" s="7"/>
      <c r="D601" s="7"/>
      <c r="E601" s="7"/>
      <c r="F601" s="7"/>
    </row>
    <row r="602">
      <c r="A602" s="4"/>
      <c r="B602" s="7"/>
      <c r="C602" s="7"/>
      <c r="D602" s="7"/>
      <c r="E602" s="7"/>
      <c r="F602" s="7"/>
    </row>
    <row r="603">
      <c r="A603" s="4"/>
      <c r="B603" s="7"/>
      <c r="C603" s="7"/>
      <c r="D603" s="7"/>
      <c r="E603" s="7"/>
      <c r="F603" s="7"/>
    </row>
    <row r="604">
      <c r="A604" s="4"/>
      <c r="B604" s="7"/>
      <c r="C604" s="7"/>
      <c r="D604" s="7"/>
      <c r="E604" s="7"/>
      <c r="F604" s="7"/>
    </row>
    <row r="605">
      <c r="A605" s="4"/>
      <c r="B605" s="7"/>
      <c r="C605" s="7"/>
      <c r="D605" s="7"/>
      <c r="E605" s="7"/>
      <c r="F605" s="7"/>
    </row>
    <row r="606">
      <c r="A606" s="4"/>
      <c r="B606" s="7"/>
      <c r="C606" s="7"/>
      <c r="D606" s="7"/>
      <c r="E606" s="7"/>
      <c r="F606" s="7"/>
    </row>
    <row r="607">
      <c r="A607" s="4"/>
      <c r="B607" s="7"/>
      <c r="C607" s="7"/>
      <c r="D607" s="7"/>
      <c r="E607" s="7"/>
      <c r="F607" s="7"/>
    </row>
    <row r="608">
      <c r="A608" s="4"/>
      <c r="B608" s="7"/>
      <c r="C608" s="7"/>
      <c r="D608" s="7"/>
      <c r="E608" s="7"/>
      <c r="F608" s="7"/>
    </row>
    <row r="609">
      <c r="A609" s="4"/>
      <c r="B609" s="7"/>
      <c r="C609" s="7"/>
      <c r="D609" s="7"/>
      <c r="E609" s="7"/>
      <c r="F609" s="7"/>
    </row>
    <row r="610">
      <c r="A610" s="4"/>
      <c r="B610" s="7"/>
      <c r="C610" s="7"/>
      <c r="D610" s="7"/>
      <c r="E610" s="7"/>
      <c r="F610" s="7"/>
    </row>
    <row r="611">
      <c r="A611" s="4"/>
      <c r="B611" s="7"/>
      <c r="C611" s="7"/>
      <c r="D611" s="7"/>
      <c r="E611" s="7"/>
      <c r="F611" s="7"/>
    </row>
    <row r="612">
      <c r="A612" s="4"/>
      <c r="B612" s="7"/>
      <c r="C612" s="7"/>
      <c r="D612" s="7"/>
      <c r="E612" s="7"/>
      <c r="F612" s="7"/>
    </row>
    <row r="613">
      <c r="A613" s="4"/>
      <c r="B613" s="7"/>
      <c r="C613" s="7"/>
      <c r="D613" s="7"/>
      <c r="E613" s="7"/>
      <c r="F613" s="7"/>
    </row>
    <row r="614">
      <c r="A614" s="4"/>
      <c r="B614" s="7"/>
      <c r="C614" s="7"/>
      <c r="D614" s="7"/>
      <c r="E614" s="7"/>
      <c r="F614" s="7"/>
    </row>
    <row r="615">
      <c r="A615" s="4"/>
      <c r="B615" s="7"/>
      <c r="C615" s="7"/>
      <c r="D615" s="7"/>
      <c r="E615" s="7"/>
      <c r="F615" s="7"/>
    </row>
    <row r="616">
      <c r="A616" s="4"/>
      <c r="B616" s="7"/>
      <c r="C616" s="7"/>
      <c r="D616" s="7"/>
      <c r="E616" s="7"/>
      <c r="F616" s="7"/>
    </row>
    <row r="617">
      <c r="A617" s="4"/>
      <c r="B617" s="7"/>
      <c r="C617" s="7"/>
      <c r="D617" s="7"/>
      <c r="E617" s="7"/>
      <c r="F617" s="7"/>
    </row>
    <row r="618">
      <c r="A618" s="4"/>
      <c r="B618" s="7"/>
      <c r="C618" s="7"/>
      <c r="D618" s="7"/>
      <c r="E618" s="7"/>
      <c r="F618" s="7"/>
    </row>
    <row r="619">
      <c r="A619" s="4"/>
      <c r="B619" s="7"/>
      <c r="C619" s="7"/>
      <c r="D619" s="7"/>
      <c r="E619" s="7"/>
      <c r="F619" s="7"/>
    </row>
    <row r="620">
      <c r="A620" s="4"/>
      <c r="B620" s="7"/>
      <c r="C620" s="7"/>
      <c r="D620" s="7"/>
      <c r="E620" s="7"/>
      <c r="F620" s="7"/>
    </row>
    <row r="621">
      <c r="A621" s="4"/>
      <c r="B621" s="7"/>
      <c r="C621" s="7"/>
      <c r="D621" s="7"/>
      <c r="E621" s="7"/>
      <c r="F621" s="7"/>
    </row>
    <row r="622">
      <c r="A622" s="4"/>
      <c r="B622" s="7"/>
      <c r="C622" s="7"/>
      <c r="D622" s="7"/>
      <c r="E622" s="7"/>
      <c r="F622" s="7"/>
    </row>
    <row r="623">
      <c r="A623" s="4"/>
      <c r="B623" s="7"/>
      <c r="C623" s="7"/>
      <c r="D623" s="7"/>
      <c r="E623" s="7"/>
      <c r="F623" s="7"/>
    </row>
    <row r="624">
      <c r="A624" s="4"/>
      <c r="B624" s="7"/>
      <c r="C624" s="7"/>
      <c r="D624" s="7"/>
      <c r="E624" s="7"/>
      <c r="F624" s="7"/>
    </row>
    <row r="625">
      <c r="A625" s="4"/>
      <c r="B625" s="7"/>
      <c r="C625" s="7"/>
      <c r="D625" s="7"/>
      <c r="E625" s="7"/>
      <c r="F625" s="7"/>
    </row>
    <row r="626">
      <c r="A626" s="4"/>
      <c r="B626" s="7"/>
      <c r="C626" s="7"/>
      <c r="D626" s="7"/>
      <c r="E626" s="7"/>
      <c r="F626" s="7"/>
    </row>
    <row r="627">
      <c r="A627" s="4"/>
      <c r="B627" s="7"/>
      <c r="C627" s="7"/>
      <c r="D627" s="7"/>
      <c r="E627" s="7"/>
      <c r="F627" s="7"/>
    </row>
    <row r="628">
      <c r="A628" s="4"/>
      <c r="B628" s="7"/>
      <c r="C628" s="7"/>
      <c r="D628" s="7"/>
      <c r="E628" s="7"/>
      <c r="F628" s="7"/>
    </row>
    <row r="629">
      <c r="A629" s="4"/>
      <c r="B629" s="7"/>
      <c r="C629" s="7"/>
      <c r="D629" s="7"/>
      <c r="E629" s="7"/>
      <c r="F629" s="7"/>
    </row>
    <row r="630">
      <c r="A630" s="4"/>
      <c r="B630" s="7"/>
      <c r="C630" s="7"/>
      <c r="D630" s="7"/>
      <c r="E630" s="7"/>
      <c r="F630" s="7"/>
    </row>
    <row r="631">
      <c r="A631" s="4"/>
      <c r="B631" s="7"/>
      <c r="C631" s="7"/>
      <c r="D631" s="7"/>
      <c r="E631" s="7"/>
      <c r="F631" s="7"/>
    </row>
    <row r="632">
      <c r="A632" s="4"/>
      <c r="B632" s="7"/>
      <c r="C632" s="7"/>
      <c r="D632" s="7"/>
      <c r="E632" s="7"/>
      <c r="F632" s="7"/>
    </row>
    <row r="633">
      <c r="A633" s="4"/>
      <c r="B633" s="7"/>
      <c r="C633" s="7"/>
      <c r="D633" s="7"/>
      <c r="E633" s="7"/>
      <c r="F633" s="7"/>
    </row>
    <row r="634">
      <c r="A634" s="4"/>
      <c r="B634" s="7"/>
      <c r="C634" s="7"/>
      <c r="D634" s="7"/>
      <c r="E634" s="7"/>
      <c r="F634" s="7"/>
    </row>
    <row r="635">
      <c r="A635" s="4"/>
      <c r="B635" s="7"/>
      <c r="C635" s="7"/>
      <c r="D635" s="7"/>
      <c r="E635" s="7"/>
      <c r="F635" s="7"/>
    </row>
    <row r="636">
      <c r="A636" s="4"/>
      <c r="B636" s="7"/>
      <c r="C636" s="7"/>
      <c r="D636" s="7"/>
      <c r="E636" s="7"/>
      <c r="F636" s="7"/>
    </row>
    <row r="637">
      <c r="A637" s="4"/>
      <c r="B637" s="7"/>
      <c r="C637" s="7"/>
      <c r="D637" s="7"/>
      <c r="E637" s="7"/>
      <c r="F637" s="7"/>
    </row>
    <row r="638">
      <c r="A638" s="4"/>
      <c r="B638" s="7"/>
      <c r="C638" s="7"/>
      <c r="D638" s="7"/>
      <c r="E638" s="7"/>
      <c r="F638" s="7"/>
    </row>
    <row r="639">
      <c r="A639" s="4"/>
      <c r="B639" s="7"/>
      <c r="C639" s="7"/>
      <c r="D639" s="7"/>
      <c r="E639" s="7"/>
      <c r="F639" s="7"/>
    </row>
    <row r="640">
      <c r="A640" s="4"/>
      <c r="B640" s="7"/>
      <c r="C640" s="7"/>
      <c r="D640" s="7"/>
      <c r="E640" s="7"/>
      <c r="F640" s="7"/>
    </row>
    <row r="641">
      <c r="A641" s="4"/>
      <c r="B641" s="7"/>
      <c r="C641" s="7"/>
      <c r="D641" s="7"/>
      <c r="E641" s="7"/>
      <c r="F641" s="7"/>
    </row>
    <row r="642">
      <c r="A642" s="4"/>
      <c r="B642" s="7"/>
      <c r="C642" s="7"/>
      <c r="D642" s="7"/>
      <c r="E642" s="7"/>
      <c r="F642" s="7"/>
    </row>
    <row r="643">
      <c r="A643" s="4"/>
      <c r="B643" s="7"/>
      <c r="C643" s="7"/>
      <c r="D643" s="7"/>
      <c r="E643" s="7"/>
      <c r="F643" s="7"/>
    </row>
    <row r="644">
      <c r="A644" s="4"/>
      <c r="B644" s="7"/>
      <c r="C644" s="7"/>
      <c r="D644" s="7"/>
      <c r="E644" s="7"/>
      <c r="F644" s="7"/>
    </row>
    <row r="645">
      <c r="A645" s="4"/>
      <c r="B645" s="7"/>
      <c r="C645" s="7"/>
      <c r="D645" s="7"/>
      <c r="E645" s="7"/>
      <c r="F645" s="7"/>
    </row>
    <row r="646">
      <c r="A646" s="4"/>
      <c r="B646" s="7"/>
      <c r="C646" s="7"/>
      <c r="D646" s="7"/>
      <c r="E646" s="7"/>
      <c r="F646" s="7"/>
    </row>
    <row r="647">
      <c r="A647" s="4"/>
      <c r="B647" s="7"/>
      <c r="C647" s="7"/>
      <c r="D647" s="7"/>
      <c r="E647" s="7"/>
      <c r="F647" s="7"/>
    </row>
    <row r="648">
      <c r="A648" s="4"/>
      <c r="B648" s="7"/>
      <c r="C648" s="7"/>
      <c r="D648" s="7"/>
      <c r="E648" s="7"/>
      <c r="F648" s="7"/>
    </row>
    <row r="649">
      <c r="A649" s="4"/>
      <c r="B649" s="7"/>
      <c r="C649" s="7"/>
      <c r="D649" s="7"/>
      <c r="E649" s="7"/>
      <c r="F649" s="7"/>
    </row>
    <row r="650">
      <c r="A650" s="4"/>
      <c r="B650" s="7"/>
      <c r="C650" s="7"/>
      <c r="D650" s="7"/>
      <c r="E650" s="7"/>
      <c r="F650" s="7"/>
    </row>
    <row r="651">
      <c r="A651" s="4"/>
      <c r="B651" s="7"/>
      <c r="C651" s="7"/>
      <c r="D651" s="7"/>
      <c r="E651" s="7"/>
      <c r="F651" s="7"/>
    </row>
    <row r="652">
      <c r="A652" s="4"/>
      <c r="B652" s="7"/>
      <c r="C652" s="7"/>
      <c r="D652" s="7"/>
      <c r="E652" s="7"/>
      <c r="F652" s="7"/>
    </row>
    <row r="653">
      <c r="A653" s="4"/>
      <c r="B653" s="7"/>
      <c r="C653" s="7"/>
      <c r="D653" s="7"/>
      <c r="E653" s="7"/>
      <c r="F653" s="7"/>
    </row>
    <row r="654">
      <c r="A654" s="4"/>
      <c r="B654" s="7"/>
      <c r="C654" s="7"/>
      <c r="D654" s="7"/>
      <c r="E654" s="7"/>
      <c r="F654" s="7"/>
    </row>
    <row r="655">
      <c r="A655" s="4"/>
      <c r="B655" s="7"/>
      <c r="C655" s="7"/>
      <c r="D655" s="7"/>
      <c r="E655" s="7"/>
      <c r="F655" s="7"/>
    </row>
    <row r="656">
      <c r="A656" s="4"/>
      <c r="B656" s="7"/>
      <c r="C656" s="7"/>
      <c r="D656" s="7"/>
      <c r="E656" s="7"/>
      <c r="F656" s="7"/>
    </row>
    <row r="657">
      <c r="A657" s="4"/>
      <c r="B657" s="7"/>
      <c r="C657" s="7"/>
      <c r="D657" s="7"/>
      <c r="E657" s="7"/>
      <c r="F657" s="7"/>
    </row>
    <row r="658">
      <c r="A658" s="4"/>
      <c r="B658" s="7"/>
      <c r="C658" s="7"/>
      <c r="D658" s="7"/>
      <c r="E658" s="7"/>
      <c r="F658" s="7"/>
    </row>
    <row r="659">
      <c r="A659" s="4"/>
      <c r="B659" s="7"/>
      <c r="C659" s="7"/>
      <c r="D659" s="7"/>
      <c r="E659" s="7"/>
      <c r="F659" s="7"/>
    </row>
    <row r="660">
      <c r="A660" s="4"/>
      <c r="B660" s="7"/>
      <c r="C660" s="7"/>
      <c r="D660" s="7"/>
      <c r="E660" s="7"/>
      <c r="F660" s="7"/>
    </row>
    <row r="661">
      <c r="A661" s="4"/>
      <c r="B661" s="7"/>
      <c r="C661" s="7"/>
      <c r="D661" s="7"/>
      <c r="E661" s="7"/>
      <c r="F661" s="7"/>
    </row>
    <row r="662">
      <c r="A662" s="4"/>
      <c r="B662" s="7"/>
      <c r="C662" s="7"/>
      <c r="D662" s="7"/>
      <c r="E662" s="7"/>
      <c r="F662" s="7"/>
    </row>
    <row r="663">
      <c r="A663" s="4"/>
      <c r="B663" s="7"/>
      <c r="C663" s="7"/>
      <c r="D663" s="7"/>
      <c r="E663" s="7"/>
      <c r="F663" s="7"/>
    </row>
    <row r="664">
      <c r="A664" s="4"/>
      <c r="B664" s="7"/>
      <c r="C664" s="7"/>
      <c r="D664" s="7"/>
      <c r="E664" s="7"/>
      <c r="F664" s="7"/>
    </row>
    <row r="665">
      <c r="A665" s="4"/>
      <c r="B665" s="7"/>
      <c r="C665" s="7"/>
      <c r="D665" s="7"/>
      <c r="E665" s="7"/>
      <c r="F665" s="7"/>
    </row>
    <row r="666">
      <c r="A666" s="4"/>
      <c r="B666" s="7"/>
      <c r="C666" s="7"/>
      <c r="D666" s="7"/>
      <c r="E666" s="7"/>
      <c r="F666" s="7"/>
    </row>
    <row r="667">
      <c r="A667" s="4"/>
      <c r="B667" s="7"/>
      <c r="C667" s="7"/>
      <c r="D667" s="7"/>
      <c r="E667" s="7"/>
      <c r="F667" s="7"/>
    </row>
    <row r="668">
      <c r="A668" s="4"/>
      <c r="B668" s="7"/>
      <c r="C668" s="7"/>
      <c r="D668" s="7"/>
      <c r="E668" s="7"/>
      <c r="F668" s="7"/>
    </row>
    <row r="669">
      <c r="A669" s="4"/>
      <c r="B669" s="7"/>
      <c r="C669" s="7"/>
      <c r="D669" s="7"/>
      <c r="E669" s="7"/>
      <c r="F669" s="7"/>
    </row>
    <row r="670">
      <c r="A670" s="4"/>
      <c r="B670" s="7"/>
      <c r="C670" s="7"/>
      <c r="D670" s="7"/>
      <c r="E670" s="7"/>
      <c r="F670" s="7"/>
    </row>
    <row r="671">
      <c r="A671" s="4"/>
      <c r="B671" s="7"/>
      <c r="C671" s="7"/>
      <c r="D671" s="7"/>
      <c r="E671" s="7"/>
      <c r="F671" s="7"/>
    </row>
    <row r="672">
      <c r="A672" s="4"/>
      <c r="B672" s="7"/>
      <c r="C672" s="7"/>
      <c r="D672" s="7"/>
      <c r="E672" s="7"/>
      <c r="F672" s="7"/>
    </row>
    <row r="673">
      <c r="A673" s="4"/>
      <c r="B673" s="7"/>
      <c r="C673" s="7"/>
      <c r="D673" s="7"/>
      <c r="E673" s="7"/>
      <c r="F673" s="7"/>
    </row>
    <row r="674">
      <c r="A674" s="4"/>
      <c r="B674" s="7"/>
      <c r="C674" s="7"/>
      <c r="D674" s="7"/>
      <c r="E674" s="7"/>
      <c r="F674" s="7"/>
    </row>
    <row r="675">
      <c r="A675" s="4"/>
      <c r="B675" s="7"/>
      <c r="C675" s="7"/>
      <c r="D675" s="7"/>
      <c r="E675" s="7"/>
      <c r="F675" s="7"/>
    </row>
    <row r="676">
      <c r="A676" s="4"/>
      <c r="B676" s="7"/>
      <c r="C676" s="7"/>
      <c r="D676" s="7"/>
      <c r="E676" s="7"/>
      <c r="F676" s="7"/>
    </row>
    <row r="677">
      <c r="A677" s="4"/>
      <c r="B677" s="7"/>
      <c r="C677" s="7"/>
      <c r="D677" s="7"/>
      <c r="E677" s="7"/>
      <c r="F677" s="7"/>
    </row>
    <row r="678">
      <c r="A678" s="4"/>
      <c r="B678" s="7"/>
      <c r="C678" s="7"/>
      <c r="D678" s="7"/>
      <c r="E678" s="7"/>
      <c r="F678" s="7"/>
    </row>
    <row r="679">
      <c r="A679" s="4"/>
      <c r="B679" s="7"/>
      <c r="C679" s="7"/>
      <c r="D679" s="7"/>
      <c r="E679" s="7"/>
      <c r="F679" s="7"/>
    </row>
    <row r="680">
      <c r="A680" s="4"/>
      <c r="B680" s="7"/>
      <c r="C680" s="7"/>
      <c r="D680" s="7"/>
      <c r="E680" s="7"/>
      <c r="F680" s="7"/>
    </row>
    <row r="681">
      <c r="A681" s="4"/>
      <c r="B681" s="7"/>
      <c r="C681" s="7"/>
      <c r="D681" s="7"/>
      <c r="E681" s="7"/>
      <c r="F681" s="7"/>
    </row>
    <row r="682">
      <c r="A682" s="4"/>
      <c r="B682" s="7"/>
      <c r="C682" s="7"/>
      <c r="D682" s="7"/>
      <c r="E682" s="7"/>
      <c r="F682" s="7"/>
    </row>
    <row r="683">
      <c r="A683" s="4"/>
      <c r="B683" s="7"/>
      <c r="C683" s="7"/>
      <c r="D683" s="7"/>
      <c r="E683" s="7"/>
      <c r="F683" s="7"/>
    </row>
    <row r="684">
      <c r="A684" s="4"/>
      <c r="B684" s="7"/>
      <c r="C684" s="7"/>
      <c r="D684" s="7"/>
      <c r="E684" s="7"/>
      <c r="F684" s="7"/>
    </row>
    <row r="685">
      <c r="A685" s="4"/>
      <c r="B685" s="7"/>
      <c r="C685" s="7"/>
      <c r="D685" s="7"/>
      <c r="E685" s="7"/>
      <c r="F685" s="7"/>
    </row>
    <row r="686">
      <c r="A686" s="4"/>
      <c r="B686" s="7"/>
      <c r="C686" s="7"/>
      <c r="D686" s="7"/>
      <c r="E686" s="7"/>
      <c r="F686" s="7"/>
    </row>
    <row r="687">
      <c r="A687" s="4"/>
      <c r="B687" s="7"/>
      <c r="C687" s="7"/>
      <c r="D687" s="7"/>
      <c r="E687" s="7"/>
      <c r="F687" s="7"/>
    </row>
    <row r="688">
      <c r="A688" s="4"/>
      <c r="B688" s="7"/>
      <c r="C688" s="7"/>
      <c r="D688" s="7"/>
      <c r="E688" s="7"/>
      <c r="F688" s="7"/>
    </row>
    <row r="689">
      <c r="A689" s="4"/>
      <c r="B689" s="7"/>
      <c r="C689" s="7"/>
      <c r="D689" s="7"/>
      <c r="E689" s="7"/>
      <c r="F689" s="7"/>
    </row>
    <row r="690">
      <c r="A690" s="4"/>
      <c r="B690" s="7"/>
      <c r="C690" s="7"/>
      <c r="D690" s="7"/>
      <c r="E690" s="7"/>
      <c r="F690" s="7"/>
    </row>
    <row r="691">
      <c r="A691" s="4"/>
      <c r="B691" s="7"/>
      <c r="C691" s="7"/>
      <c r="D691" s="7"/>
      <c r="E691" s="7"/>
      <c r="F691" s="7"/>
    </row>
    <row r="692">
      <c r="A692" s="4"/>
      <c r="B692" s="7"/>
      <c r="C692" s="7"/>
      <c r="D692" s="7"/>
      <c r="E692" s="7"/>
      <c r="F692" s="7"/>
    </row>
    <row r="693">
      <c r="A693" s="4"/>
      <c r="B693" s="7"/>
      <c r="C693" s="7"/>
      <c r="D693" s="7"/>
      <c r="E693" s="7"/>
      <c r="F693" s="7"/>
    </row>
    <row r="694">
      <c r="A694" s="4"/>
      <c r="B694" s="7"/>
      <c r="C694" s="7"/>
      <c r="D694" s="7"/>
      <c r="E694" s="7"/>
      <c r="F694" s="7"/>
    </row>
    <row r="695">
      <c r="A695" s="4"/>
      <c r="B695" s="7"/>
      <c r="C695" s="7"/>
      <c r="D695" s="7"/>
      <c r="E695" s="7"/>
      <c r="F695" s="7"/>
    </row>
    <row r="696">
      <c r="A696" s="4"/>
      <c r="B696" s="7"/>
      <c r="C696" s="7"/>
      <c r="D696" s="7"/>
      <c r="E696" s="7"/>
      <c r="F696" s="7"/>
    </row>
    <row r="697">
      <c r="A697" s="4"/>
      <c r="B697" s="7"/>
      <c r="C697" s="7"/>
      <c r="D697" s="7"/>
      <c r="E697" s="7"/>
      <c r="F697" s="7"/>
    </row>
    <row r="698">
      <c r="A698" s="4"/>
      <c r="B698" s="7"/>
      <c r="C698" s="7"/>
      <c r="D698" s="7"/>
      <c r="E698" s="7"/>
      <c r="F698" s="7"/>
    </row>
    <row r="699">
      <c r="A699" s="4"/>
      <c r="B699" s="7"/>
      <c r="C699" s="7"/>
      <c r="D699" s="7"/>
      <c r="E699" s="7"/>
      <c r="F699" s="7"/>
    </row>
    <row r="700">
      <c r="A700" s="4"/>
      <c r="B700" s="7"/>
      <c r="C700" s="7"/>
      <c r="D700" s="7"/>
      <c r="E700" s="7"/>
      <c r="F700" s="7"/>
    </row>
    <row r="701">
      <c r="A701" s="4"/>
      <c r="B701" s="7"/>
      <c r="C701" s="7"/>
      <c r="D701" s="7"/>
      <c r="E701" s="7"/>
      <c r="F701" s="7"/>
    </row>
    <row r="702">
      <c r="A702" s="4"/>
      <c r="B702" s="7"/>
      <c r="C702" s="7"/>
      <c r="D702" s="7"/>
      <c r="E702" s="7"/>
      <c r="F702" s="7"/>
    </row>
    <row r="703">
      <c r="A703" s="4"/>
      <c r="B703" s="7"/>
      <c r="C703" s="7"/>
      <c r="D703" s="7"/>
      <c r="E703" s="7"/>
      <c r="F703" s="7"/>
    </row>
    <row r="704">
      <c r="A704" s="4"/>
      <c r="B704" s="7"/>
      <c r="C704" s="7"/>
      <c r="D704" s="7"/>
      <c r="E704" s="7"/>
      <c r="F704" s="7"/>
    </row>
    <row r="705">
      <c r="A705" s="4"/>
      <c r="B705" s="7"/>
      <c r="C705" s="7"/>
      <c r="D705" s="7"/>
      <c r="E705" s="7"/>
      <c r="F705" s="7"/>
    </row>
    <row r="706">
      <c r="A706" s="4"/>
      <c r="B706" s="7"/>
      <c r="C706" s="7"/>
      <c r="D706" s="7"/>
      <c r="E706" s="7"/>
      <c r="F706" s="7"/>
    </row>
    <row r="707">
      <c r="A707" s="4"/>
      <c r="B707" s="7"/>
      <c r="C707" s="7"/>
      <c r="D707" s="7"/>
      <c r="E707" s="7"/>
      <c r="F707" s="7"/>
    </row>
    <row r="708">
      <c r="A708" s="4"/>
      <c r="B708" s="7"/>
      <c r="C708" s="7"/>
      <c r="D708" s="7"/>
      <c r="E708" s="7"/>
      <c r="F708" s="7"/>
    </row>
    <row r="709">
      <c r="A709" s="4"/>
      <c r="B709" s="7"/>
      <c r="C709" s="7"/>
      <c r="D709" s="7"/>
      <c r="E709" s="7"/>
      <c r="F709" s="7"/>
    </row>
    <row r="710">
      <c r="A710" s="4"/>
      <c r="B710" s="7"/>
      <c r="C710" s="7"/>
      <c r="D710" s="7"/>
      <c r="E710" s="7"/>
      <c r="F710" s="7"/>
    </row>
    <row r="711">
      <c r="A711" s="4"/>
      <c r="B711" s="7"/>
      <c r="C711" s="7"/>
      <c r="D711" s="7"/>
      <c r="E711" s="7"/>
      <c r="F711" s="7"/>
    </row>
    <row r="712">
      <c r="A712" s="4"/>
      <c r="B712" s="7"/>
      <c r="C712" s="7"/>
      <c r="D712" s="7"/>
      <c r="E712" s="7"/>
      <c r="F712" s="7"/>
    </row>
    <row r="713">
      <c r="A713" s="4"/>
      <c r="B713" s="7"/>
      <c r="C713" s="7"/>
      <c r="D713" s="7"/>
      <c r="E713" s="7"/>
      <c r="F713" s="7"/>
    </row>
    <row r="714">
      <c r="A714" s="4"/>
      <c r="B714" s="7"/>
      <c r="C714" s="7"/>
      <c r="D714" s="7"/>
      <c r="E714" s="7"/>
      <c r="F714" s="7"/>
    </row>
    <row r="715">
      <c r="A715" s="4"/>
      <c r="B715" s="7"/>
      <c r="C715" s="7"/>
      <c r="D715" s="7"/>
      <c r="E715" s="7"/>
      <c r="F715" s="7"/>
    </row>
    <row r="716">
      <c r="A716" s="4"/>
      <c r="B716" s="7"/>
      <c r="C716" s="7"/>
      <c r="D716" s="7"/>
      <c r="E716" s="7"/>
      <c r="F716" s="7"/>
    </row>
    <row r="717">
      <c r="A717" s="4"/>
      <c r="B717" s="7"/>
      <c r="C717" s="7"/>
      <c r="D717" s="7"/>
      <c r="E717" s="7"/>
      <c r="F717" s="7"/>
    </row>
    <row r="718">
      <c r="A718" s="4"/>
      <c r="B718" s="7"/>
      <c r="C718" s="7"/>
      <c r="D718" s="7"/>
      <c r="E718" s="7"/>
      <c r="F718" s="7"/>
    </row>
    <row r="719">
      <c r="A719" s="4"/>
      <c r="B719" s="7"/>
      <c r="C719" s="7"/>
      <c r="D719" s="7"/>
      <c r="E719" s="7"/>
      <c r="F719" s="7"/>
    </row>
    <row r="720">
      <c r="A720" s="4"/>
      <c r="B720" s="7"/>
      <c r="C720" s="7"/>
      <c r="D720" s="7"/>
      <c r="E720" s="7"/>
      <c r="F720" s="7"/>
    </row>
    <row r="721">
      <c r="A721" s="4"/>
      <c r="B721" s="7"/>
      <c r="C721" s="7"/>
      <c r="D721" s="7"/>
      <c r="E721" s="7"/>
      <c r="F721" s="7"/>
    </row>
    <row r="722">
      <c r="A722" s="4"/>
      <c r="B722" s="7"/>
      <c r="C722" s="7"/>
      <c r="D722" s="7"/>
      <c r="E722" s="7"/>
      <c r="F722" s="7"/>
    </row>
    <row r="723">
      <c r="A723" s="4"/>
      <c r="B723" s="7"/>
      <c r="C723" s="7"/>
      <c r="D723" s="7"/>
      <c r="E723" s="7"/>
      <c r="F723" s="7"/>
    </row>
    <row r="724">
      <c r="A724" s="4"/>
      <c r="B724" s="7"/>
      <c r="C724" s="7"/>
      <c r="D724" s="7"/>
      <c r="E724" s="7"/>
      <c r="F724" s="7"/>
    </row>
    <row r="725">
      <c r="A725" s="4"/>
      <c r="B725" s="7"/>
      <c r="C725" s="7"/>
      <c r="D725" s="7"/>
      <c r="E725" s="7"/>
      <c r="F725" s="7"/>
    </row>
    <row r="726">
      <c r="A726" s="4"/>
      <c r="B726" s="7"/>
      <c r="C726" s="7"/>
      <c r="D726" s="7"/>
      <c r="E726" s="7"/>
      <c r="F726" s="7"/>
    </row>
    <row r="727">
      <c r="A727" s="4"/>
      <c r="B727" s="7"/>
      <c r="C727" s="7"/>
      <c r="D727" s="7"/>
      <c r="E727" s="7"/>
      <c r="F727" s="7"/>
    </row>
    <row r="728">
      <c r="A728" s="4"/>
      <c r="B728" s="7"/>
      <c r="C728" s="7"/>
      <c r="D728" s="7"/>
      <c r="E728" s="7"/>
      <c r="F728" s="7"/>
    </row>
    <row r="729">
      <c r="A729" s="4"/>
      <c r="B729" s="7"/>
      <c r="C729" s="7"/>
      <c r="D729" s="7"/>
      <c r="E729" s="7"/>
      <c r="F729" s="7"/>
    </row>
    <row r="730">
      <c r="A730" s="4"/>
      <c r="B730" s="7"/>
      <c r="C730" s="7"/>
      <c r="D730" s="7"/>
      <c r="E730" s="7"/>
      <c r="F730" s="7"/>
    </row>
    <row r="731">
      <c r="A731" s="4"/>
      <c r="B731" s="7"/>
      <c r="C731" s="7"/>
      <c r="D731" s="7"/>
      <c r="E731" s="7"/>
      <c r="F731" s="7"/>
    </row>
    <row r="732">
      <c r="A732" s="4"/>
      <c r="B732" s="7"/>
      <c r="C732" s="7"/>
      <c r="D732" s="7"/>
      <c r="E732" s="7"/>
      <c r="F732" s="7"/>
    </row>
    <row r="733">
      <c r="A733" s="4"/>
      <c r="B733" s="7"/>
      <c r="C733" s="7"/>
      <c r="D733" s="7"/>
      <c r="E733" s="7"/>
      <c r="F733" s="7"/>
    </row>
    <row r="734">
      <c r="A734" s="4"/>
      <c r="B734" s="7"/>
      <c r="C734" s="7"/>
      <c r="D734" s="7"/>
      <c r="E734" s="7"/>
      <c r="F734" s="7"/>
    </row>
    <row r="735">
      <c r="A735" s="4"/>
      <c r="B735" s="7"/>
      <c r="C735" s="7"/>
      <c r="D735" s="7"/>
      <c r="E735" s="7"/>
      <c r="F735" s="7"/>
    </row>
    <row r="736">
      <c r="A736" s="4"/>
      <c r="B736" s="7"/>
      <c r="C736" s="7"/>
      <c r="D736" s="7"/>
      <c r="E736" s="7"/>
      <c r="F736" s="7"/>
    </row>
    <row r="737">
      <c r="A737" s="4"/>
      <c r="B737" s="7"/>
      <c r="C737" s="7"/>
      <c r="D737" s="7"/>
      <c r="E737" s="7"/>
      <c r="F737" s="7"/>
    </row>
    <row r="738">
      <c r="A738" s="4"/>
      <c r="B738" s="7"/>
      <c r="C738" s="7"/>
      <c r="D738" s="7"/>
      <c r="E738" s="7"/>
      <c r="F738" s="7"/>
    </row>
    <row r="739">
      <c r="A739" s="4"/>
      <c r="B739" s="7"/>
      <c r="C739" s="7"/>
      <c r="D739" s="7"/>
      <c r="E739" s="7"/>
      <c r="F739" s="7"/>
    </row>
    <row r="740">
      <c r="A740" s="4"/>
      <c r="B740" s="7"/>
      <c r="C740" s="7"/>
      <c r="D740" s="7"/>
      <c r="E740" s="7"/>
      <c r="F740" s="7"/>
    </row>
    <row r="741">
      <c r="A741" s="4"/>
      <c r="B741" s="7"/>
      <c r="C741" s="7"/>
      <c r="D741" s="7"/>
      <c r="E741" s="7"/>
      <c r="F741" s="7"/>
    </row>
    <row r="742">
      <c r="A742" s="4"/>
      <c r="B742" s="7"/>
      <c r="C742" s="7"/>
      <c r="D742" s="7"/>
      <c r="E742" s="7"/>
      <c r="F742" s="7"/>
    </row>
    <row r="743">
      <c r="A743" s="4"/>
      <c r="B743" s="7"/>
      <c r="C743" s="7"/>
      <c r="D743" s="7"/>
      <c r="E743" s="7"/>
      <c r="F743" s="7"/>
    </row>
    <row r="744">
      <c r="A744" s="4"/>
      <c r="B744" s="7"/>
      <c r="C744" s="7"/>
      <c r="D744" s="7"/>
      <c r="E744" s="7"/>
      <c r="F744" s="7"/>
    </row>
    <row r="745">
      <c r="A745" s="4"/>
      <c r="B745" s="7"/>
      <c r="C745" s="7"/>
      <c r="D745" s="7"/>
      <c r="E745" s="7"/>
      <c r="F745" s="7"/>
    </row>
    <row r="746">
      <c r="A746" s="4"/>
      <c r="B746" s="7"/>
      <c r="C746" s="7"/>
      <c r="D746" s="7"/>
      <c r="E746" s="7"/>
      <c r="F746" s="7"/>
    </row>
    <row r="747">
      <c r="A747" s="4"/>
      <c r="B747" s="7"/>
      <c r="C747" s="7"/>
      <c r="D747" s="7"/>
      <c r="E747" s="7"/>
      <c r="F747" s="7"/>
    </row>
    <row r="748">
      <c r="A748" s="4"/>
      <c r="B748" s="7"/>
      <c r="C748" s="7"/>
      <c r="D748" s="7"/>
      <c r="E748" s="7"/>
      <c r="F748" s="7"/>
    </row>
    <row r="749">
      <c r="A749" s="4"/>
      <c r="B749" s="7"/>
      <c r="C749" s="7"/>
      <c r="D749" s="7"/>
      <c r="E749" s="7"/>
      <c r="F749" s="7"/>
    </row>
    <row r="750">
      <c r="A750" s="4"/>
      <c r="B750" s="7"/>
      <c r="C750" s="7"/>
      <c r="D750" s="7"/>
      <c r="E750" s="7"/>
      <c r="F750" s="7"/>
    </row>
    <row r="751">
      <c r="A751" s="4"/>
      <c r="B751" s="7"/>
      <c r="C751" s="7"/>
      <c r="D751" s="7"/>
      <c r="E751" s="7"/>
      <c r="F751" s="7"/>
    </row>
    <row r="752">
      <c r="A752" s="4"/>
      <c r="B752" s="7"/>
      <c r="C752" s="7"/>
      <c r="D752" s="7"/>
      <c r="E752" s="7"/>
      <c r="F752" s="7"/>
    </row>
    <row r="753">
      <c r="A753" s="4"/>
      <c r="B753" s="7"/>
      <c r="C753" s="7"/>
      <c r="D753" s="7"/>
      <c r="E753" s="7"/>
      <c r="F753" s="7"/>
    </row>
    <row r="754">
      <c r="A754" s="4"/>
      <c r="B754" s="7"/>
      <c r="C754" s="7"/>
      <c r="D754" s="7"/>
      <c r="E754" s="7"/>
      <c r="F754" s="7"/>
    </row>
    <row r="755">
      <c r="A755" s="4"/>
      <c r="B755" s="7"/>
      <c r="C755" s="7"/>
      <c r="D755" s="7"/>
      <c r="E755" s="7"/>
      <c r="F755" s="7"/>
    </row>
    <row r="756">
      <c r="A756" s="4"/>
      <c r="B756" s="7"/>
      <c r="C756" s="7"/>
      <c r="D756" s="7"/>
      <c r="E756" s="7"/>
      <c r="F756" s="7"/>
    </row>
    <row r="757">
      <c r="A757" s="4"/>
      <c r="B757" s="7"/>
      <c r="C757" s="7"/>
      <c r="D757" s="7"/>
      <c r="E757" s="7"/>
      <c r="F757" s="7"/>
    </row>
    <row r="758">
      <c r="A758" s="4"/>
      <c r="B758" s="7"/>
      <c r="C758" s="7"/>
      <c r="D758" s="7"/>
      <c r="E758" s="7"/>
      <c r="F758" s="7"/>
    </row>
    <row r="759">
      <c r="A759" s="4"/>
      <c r="B759" s="7"/>
      <c r="C759" s="7"/>
      <c r="D759" s="7"/>
      <c r="E759" s="7"/>
      <c r="F759" s="7"/>
    </row>
    <row r="760">
      <c r="A760" s="4"/>
      <c r="B760" s="7"/>
      <c r="C760" s="7"/>
      <c r="D760" s="7"/>
      <c r="E760" s="7"/>
      <c r="F760" s="7"/>
    </row>
    <row r="761">
      <c r="A761" s="4"/>
      <c r="B761" s="7"/>
      <c r="C761" s="7"/>
      <c r="D761" s="7"/>
      <c r="E761" s="7"/>
      <c r="F761" s="7"/>
    </row>
    <row r="762">
      <c r="A762" s="4"/>
      <c r="B762" s="7"/>
      <c r="C762" s="7"/>
      <c r="D762" s="7"/>
      <c r="E762" s="7"/>
      <c r="F762" s="7"/>
    </row>
    <row r="763">
      <c r="A763" s="4"/>
      <c r="B763" s="7"/>
      <c r="C763" s="7"/>
      <c r="D763" s="7"/>
      <c r="E763" s="7"/>
      <c r="F763" s="7"/>
    </row>
    <row r="764">
      <c r="A764" s="4"/>
      <c r="B764" s="7"/>
      <c r="C764" s="7"/>
      <c r="D764" s="7"/>
      <c r="E764" s="7"/>
      <c r="F764" s="7"/>
    </row>
    <row r="765">
      <c r="A765" s="4"/>
      <c r="B765" s="7"/>
      <c r="C765" s="7"/>
      <c r="D765" s="7"/>
      <c r="E765" s="7"/>
      <c r="F765" s="7"/>
    </row>
    <row r="766">
      <c r="A766" s="4"/>
      <c r="B766" s="7"/>
      <c r="C766" s="7"/>
      <c r="D766" s="7"/>
      <c r="E766" s="7"/>
      <c r="F766" s="7"/>
    </row>
    <row r="767">
      <c r="A767" s="4"/>
      <c r="B767" s="7"/>
      <c r="C767" s="7"/>
      <c r="D767" s="7"/>
      <c r="E767" s="7"/>
      <c r="F767" s="7"/>
    </row>
    <row r="768">
      <c r="A768" s="4"/>
      <c r="B768" s="7"/>
      <c r="C768" s="7"/>
      <c r="D768" s="7"/>
      <c r="E768" s="7"/>
      <c r="F768" s="7"/>
    </row>
    <row r="769">
      <c r="A769" s="4"/>
      <c r="B769" s="7"/>
      <c r="C769" s="7"/>
      <c r="D769" s="7"/>
      <c r="E769" s="7"/>
      <c r="F769" s="7"/>
    </row>
    <row r="770">
      <c r="A770" s="4"/>
      <c r="B770" s="7"/>
      <c r="C770" s="7"/>
      <c r="D770" s="7"/>
      <c r="E770" s="7"/>
      <c r="F770" s="7"/>
    </row>
    <row r="771">
      <c r="A771" s="4"/>
      <c r="B771" s="7"/>
      <c r="C771" s="7"/>
      <c r="D771" s="7"/>
      <c r="E771" s="7"/>
      <c r="F771" s="7"/>
    </row>
    <row r="772">
      <c r="A772" s="4"/>
      <c r="B772" s="7"/>
      <c r="C772" s="7"/>
      <c r="D772" s="7"/>
      <c r="E772" s="7"/>
      <c r="F772" s="7"/>
    </row>
    <row r="773">
      <c r="A773" s="4"/>
      <c r="B773" s="7"/>
      <c r="C773" s="7"/>
      <c r="D773" s="7"/>
      <c r="E773" s="7"/>
      <c r="F773" s="7"/>
    </row>
    <row r="774">
      <c r="A774" s="4"/>
      <c r="B774" s="7"/>
      <c r="C774" s="7"/>
      <c r="D774" s="7"/>
      <c r="E774" s="7"/>
      <c r="F774" s="7"/>
    </row>
    <row r="775">
      <c r="A775" s="4"/>
      <c r="B775" s="7"/>
      <c r="C775" s="7"/>
      <c r="D775" s="7"/>
      <c r="E775" s="7"/>
      <c r="F775" s="7"/>
    </row>
    <row r="776">
      <c r="A776" s="4"/>
      <c r="B776" s="7"/>
      <c r="C776" s="7"/>
      <c r="D776" s="7"/>
      <c r="E776" s="7"/>
      <c r="F776" s="7"/>
    </row>
    <row r="777">
      <c r="A777" s="4"/>
      <c r="B777" s="7"/>
      <c r="C777" s="7"/>
      <c r="D777" s="7"/>
      <c r="E777" s="7"/>
      <c r="F777" s="7"/>
    </row>
    <row r="778">
      <c r="A778" s="4"/>
      <c r="B778" s="7"/>
      <c r="C778" s="7"/>
      <c r="D778" s="7"/>
      <c r="E778" s="7"/>
      <c r="F778" s="7"/>
    </row>
    <row r="779">
      <c r="A779" s="4"/>
      <c r="B779" s="7"/>
      <c r="C779" s="7"/>
      <c r="D779" s="7"/>
      <c r="E779" s="7"/>
      <c r="F779" s="7"/>
    </row>
    <row r="780">
      <c r="A780" s="4"/>
      <c r="B780" s="7"/>
      <c r="C780" s="7"/>
      <c r="D780" s="7"/>
      <c r="E780" s="7"/>
      <c r="F780" s="7"/>
    </row>
    <row r="781">
      <c r="A781" s="4"/>
      <c r="B781" s="7"/>
      <c r="C781" s="7"/>
      <c r="D781" s="7"/>
      <c r="E781" s="7"/>
      <c r="F781" s="7"/>
    </row>
    <row r="782">
      <c r="A782" s="4"/>
      <c r="B782" s="7"/>
      <c r="C782" s="7"/>
      <c r="D782" s="7"/>
      <c r="E782" s="7"/>
      <c r="F782" s="7"/>
    </row>
    <row r="783">
      <c r="A783" s="4"/>
      <c r="B783" s="7"/>
      <c r="C783" s="7"/>
      <c r="D783" s="7"/>
      <c r="E783" s="7"/>
      <c r="F783" s="7"/>
    </row>
    <row r="784">
      <c r="A784" s="4"/>
      <c r="B784" s="7"/>
      <c r="C784" s="7"/>
      <c r="D784" s="7"/>
      <c r="E784" s="7"/>
      <c r="F784" s="7"/>
    </row>
    <row r="785">
      <c r="A785" s="4"/>
      <c r="B785" s="7"/>
      <c r="C785" s="7"/>
      <c r="D785" s="7"/>
      <c r="E785" s="7"/>
      <c r="F785" s="7"/>
    </row>
    <row r="786">
      <c r="A786" s="4"/>
      <c r="B786" s="7"/>
      <c r="C786" s="7"/>
      <c r="D786" s="7"/>
      <c r="E786" s="7"/>
      <c r="F786" s="7"/>
    </row>
    <row r="787">
      <c r="A787" s="4"/>
      <c r="B787" s="7"/>
      <c r="C787" s="7"/>
      <c r="D787" s="7"/>
      <c r="E787" s="7"/>
      <c r="F787" s="7"/>
    </row>
    <row r="788">
      <c r="A788" s="4"/>
      <c r="B788" s="7"/>
      <c r="C788" s="7"/>
      <c r="D788" s="7"/>
      <c r="E788" s="7"/>
      <c r="F788" s="7"/>
    </row>
    <row r="789">
      <c r="A789" s="4"/>
      <c r="B789" s="7"/>
      <c r="C789" s="7"/>
      <c r="D789" s="7"/>
      <c r="E789" s="7"/>
      <c r="F789" s="7"/>
    </row>
    <row r="790">
      <c r="A790" s="4"/>
      <c r="B790" s="7"/>
      <c r="C790" s="7"/>
      <c r="D790" s="7"/>
      <c r="E790" s="7"/>
      <c r="F790" s="7"/>
    </row>
    <row r="791">
      <c r="A791" s="4"/>
      <c r="B791" s="7"/>
      <c r="C791" s="7"/>
      <c r="D791" s="7"/>
      <c r="E791" s="7"/>
      <c r="F791" s="7"/>
    </row>
    <row r="792">
      <c r="A792" s="4"/>
      <c r="B792" s="7"/>
      <c r="C792" s="7"/>
      <c r="D792" s="7"/>
      <c r="E792" s="7"/>
      <c r="F792" s="7"/>
    </row>
    <row r="793">
      <c r="A793" s="4"/>
      <c r="B793" s="7"/>
      <c r="C793" s="7"/>
      <c r="D793" s="7"/>
      <c r="E793" s="7"/>
      <c r="F793" s="7"/>
    </row>
    <row r="794">
      <c r="A794" s="4"/>
      <c r="B794" s="7"/>
      <c r="C794" s="7"/>
      <c r="D794" s="7"/>
      <c r="E794" s="7"/>
      <c r="F794" s="7"/>
    </row>
    <row r="795">
      <c r="A795" s="4"/>
      <c r="B795" s="7"/>
      <c r="C795" s="7"/>
      <c r="D795" s="7"/>
      <c r="E795" s="7"/>
      <c r="F795" s="7"/>
    </row>
    <row r="796">
      <c r="A796" s="4"/>
      <c r="B796" s="7"/>
      <c r="C796" s="7"/>
      <c r="D796" s="7"/>
      <c r="E796" s="7"/>
      <c r="F796" s="7"/>
    </row>
    <row r="797">
      <c r="A797" s="4"/>
      <c r="B797" s="7"/>
      <c r="C797" s="7"/>
      <c r="D797" s="7"/>
      <c r="E797" s="7"/>
      <c r="F797" s="7"/>
    </row>
    <row r="798">
      <c r="A798" s="4"/>
      <c r="B798" s="7"/>
      <c r="C798" s="7"/>
      <c r="D798" s="7"/>
      <c r="E798" s="7"/>
      <c r="F798" s="7"/>
    </row>
    <row r="799">
      <c r="A799" s="4"/>
      <c r="B799" s="7"/>
      <c r="C799" s="7"/>
      <c r="D799" s="7"/>
      <c r="E799" s="7"/>
      <c r="F799" s="7"/>
    </row>
    <row r="800">
      <c r="A800" s="4"/>
      <c r="B800" s="7"/>
      <c r="C800" s="7"/>
      <c r="D800" s="7"/>
      <c r="E800" s="7"/>
      <c r="F800" s="7"/>
    </row>
    <row r="801">
      <c r="A801" s="4"/>
      <c r="B801" s="7"/>
      <c r="C801" s="7"/>
      <c r="D801" s="7"/>
      <c r="E801" s="7"/>
      <c r="F801" s="7"/>
    </row>
    <row r="802">
      <c r="A802" s="4"/>
      <c r="B802" s="7"/>
      <c r="C802" s="7"/>
      <c r="D802" s="7"/>
      <c r="E802" s="7"/>
      <c r="F802" s="7"/>
    </row>
    <row r="803">
      <c r="A803" s="4"/>
      <c r="B803" s="7"/>
      <c r="C803" s="7"/>
      <c r="D803" s="7"/>
      <c r="E803" s="7"/>
      <c r="F803" s="7"/>
    </row>
    <row r="804">
      <c r="A804" s="4"/>
      <c r="B804" s="7"/>
      <c r="C804" s="7"/>
      <c r="D804" s="7"/>
      <c r="E804" s="7"/>
      <c r="F804" s="7"/>
    </row>
    <row r="805">
      <c r="A805" s="4"/>
      <c r="B805" s="7"/>
      <c r="C805" s="7"/>
      <c r="D805" s="7"/>
      <c r="E805" s="7"/>
      <c r="F805" s="7"/>
    </row>
    <row r="806">
      <c r="A806" s="4"/>
      <c r="B806" s="7"/>
      <c r="C806" s="7"/>
      <c r="D806" s="7"/>
      <c r="E806" s="7"/>
      <c r="F806" s="7"/>
    </row>
    <row r="807">
      <c r="A807" s="4"/>
      <c r="B807" s="7"/>
      <c r="C807" s="7"/>
      <c r="D807" s="7"/>
      <c r="E807" s="7"/>
      <c r="F807" s="7"/>
    </row>
    <row r="808">
      <c r="A808" s="4"/>
      <c r="B808" s="7"/>
      <c r="C808" s="7"/>
      <c r="D808" s="7"/>
      <c r="E808" s="7"/>
      <c r="F808" s="7"/>
    </row>
    <row r="809">
      <c r="A809" s="4"/>
      <c r="B809" s="7"/>
      <c r="C809" s="7"/>
      <c r="D809" s="7"/>
      <c r="E809" s="7"/>
      <c r="F809" s="7"/>
    </row>
    <row r="810">
      <c r="A810" s="4"/>
      <c r="B810" s="7"/>
      <c r="C810" s="7"/>
      <c r="D810" s="7"/>
      <c r="E810" s="7"/>
      <c r="F810" s="7"/>
    </row>
    <row r="811">
      <c r="A811" s="4"/>
      <c r="B811" s="7"/>
      <c r="C811" s="7"/>
      <c r="D811" s="7"/>
      <c r="E811" s="7"/>
      <c r="F811" s="7"/>
    </row>
    <row r="812">
      <c r="A812" s="4"/>
      <c r="B812" s="7"/>
      <c r="C812" s="7"/>
      <c r="D812" s="7"/>
      <c r="E812" s="7"/>
      <c r="F812" s="7"/>
    </row>
    <row r="813">
      <c r="A813" s="4"/>
      <c r="B813" s="7"/>
      <c r="C813" s="7"/>
      <c r="D813" s="7"/>
      <c r="E813" s="7"/>
      <c r="F813" s="7"/>
    </row>
    <row r="814">
      <c r="A814" s="4"/>
      <c r="B814" s="7"/>
      <c r="C814" s="7"/>
      <c r="D814" s="7"/>
      <c r="E814" s="7"/>
      <c r="F814" s="7"/>
    </row>
    <row r="815">
      <c r="A815" s="4"/>
      <c r="B815" s="7"/>
      <c r="C815" s="7"/>
      <c r="D815" s="7"/>
      <c r="E815" s="7"/>
      <c r="F815" s="7"/>
    </row>
    <row r="816">
      <c r="A816" s="4"/>
      <c r="B816" s="7"/>
      <c r="C816" s="7"/>
      <c r="D816" s="7"/>
      <c r="E816" s="7"/>
      <c r="F816" s="7"/>
    </row>
    <row r="817">
      <c r="A817" s="4"/>
      <c r="B817" s="7"/>
      <c r="C817" s="7"/>
      <c r="D817" s="7"/>
      <c r="E817" s="7"/>
      <c r="F817" s="7"/>
    </row>
    <row r="818">
      <c r="A818" s="4"/>
      <c r="B818" s="7"/>
      <c r="C818" s="7"/>
      <c r="D818" s="7"/>
      <c r="E818" s="7"/>
      <c r="F818" s="7"/>
    </row>
    <row r="819">
      <c r="A819" s="4"/>
      <c r="B819" s="7"/>
      <c r="C819" s="7"/>
      <c r="D819" s="7"/>
      <c r="E819" s="7"/>
      <c r="F819" s="7"/>
    </row>
    <row r="820">
      <c r="A820" s="4"/>
      <c r="B820" s="7"/>
      <c r="C820" s="7"/>
      <c r="D820" s="7"/>
      <c r="E820" s="7"/>
      <c r="F820" s="7"/>
    </row>
    <row r="821">
      <c r="A821" s="4"/>
      <c r="B821" s="7"/>
      <c r="C821" s="7"/>
      <c r="D821" s="7"/>
      <c r="E821" s="7"/>
      <c r="F821" s="7"/>
    </row>
    <row r="822">
      <c r="A822" s="4"/>
      <c r="B822" s="7"/>
      <c r="C822" s="7"/>
      <c r="D822" s="7"/>
      <c r="E822" s="7"/>
      <c r="F822" s="7"/>
    </row>
    <row r="823">
      <c r="A823" s="4"/>
      <c r="B823" s="7"/>
      <c r="C823" s="7"/>
      <c r="D823" s="7"/>
      <c r="E823" s="7"/>
      <c r="F823" s="7"/>
    </row>
    <row r="824">
      <c r="A824" s="4"/>
      <c r="B824" s="7"/>
      <c r="C824" s="7"/>
      <c r="D824" s="7"/>
      <c r="E824" s="7"/>
      <c r="F824" s="7"/>
    </row>
    <row r="825">
      <c r="A825" s="4"/>
      <c r="B825" s="7"/>
      <c r="C825" s="7"/>
      <c r="D825" s="7"/>
      <c r="E825" s="7"/>
      <c r="F825" s="7"/>
    </row>
    <row r="826">
      <c r="A826" s="4"/>
      <c r="B826" s="7"/>
      <c r="C826" s="7"/>
      <c r="D826" s="7"/>
      <c r="E826" s="7"/>
      <c r="F826" s="7"/>
    </row>
    <row r="827">
      <c r="A827" s="4"/>
      <c r="B827" s="7"/>
      <c r="C827" s="7"/>
      <c r="D827" s="7"/>
      <c r="E827" s="7"/>
      <c r="F827" s="7"/>
    </row>
    <row r="828">
      <c r="A828" s="4"/>
      <c r="B828" s="7"/>
      <c r="C828" s="7"/>
      <c r="D828" s="7"/>
      <c r="E828" s="7"/>
      <c r="F828" s="7"/>
    </row>
    <row r="829">
      <c r="A829" s="4"/>
      <c r="B829" s="7"/>
      <c r="C829" s="7"/>
      <c r="D829" s="7"/>
      <c r="E829" s="7"/>
      <c r="F829" s="7"/>
    </row>
    <row r="830">
      <c r="A830" s="4"/>
      <c r="B830" s="7"/>
      <c r="C830" s="7"/>
      <c r="D830" s="7"/>
      <c r="E830" s="7"/>
      <c r="F830" s="7"/>
    </row>
    <row r="831">
      <c r="A831" s="4"/>
      <c r="B831" s="7"/>
      <c r="C831" s="7"/>
      <c r="D831" s="7"/>
      <c r="E831" s="7"/>
      <c r="F831" s="7"/>
    </row>
    <row r="832">
      <c r="A832" s="4"/>
      <c r="B832" s="7"/>
      <c r="C832" s="7"/>
      <c r="D832" s="7"/>
      <c r="E832" s="7"/>
      <c r="F832" s="7"/>
    </row>
    <row r="833">
      <c r="A833" s="4"/>
      <c r="B833" s="7"/>
      <c r="C833" s="7"/>
      <c r="D833" s="7"/>
      <c r="E833" s="7"/>
      <c r="F833" s="7"/>
    </row>
    <row r="834">
      <c r="A834" s="4"/>
      <c r="B834" s="7"/>
      <c r="C834" s="7"/>
      <c r="D834" s="7"/>
      <c r="E834" s="7"/>
      <c r="F834" s="7"/>
    </row>
    <row r="835">
      <c r="A835" s="4"/>
      <c r="B835" s="7"/>
      <c r="C835" s="7"/>
      <c r="D835" s="7"/>
      <c r="E835" s="7"/>
      <c r="F835" s="7"/>
    </row>
    <row r="836">
      <c r="A836" s="4"/>
      <c r="B836" s="7"/>
      <c r="C836" s="7"/>
      <c r="D836" s="7"/>
      <c r="E836" s="7"/>
      <c r="F836" s="7"/>
    </row>
    <row r="837">
      <c r="A837" s="4"/>
      <c r="B837" s="7"/>
      <c r="C837" s="7"/>
      <c r="D837" s="7"/>
      <c r="E837" s="7"/>
      <c r="F837" s="7"/>
    </row>
    <row r="838">
      <c r="A838" s="4"/>
      <c r="B838" s="7"/>
      <c r="C838" s="7"/>
      <c r="D838" s="7"/>
      <c r="E838" s="7"/>
      <c r="F838" s="7"/>
    </row>
    <row r="839">
      <c r="A839" s="4"/>
      <c r="B839" s="7"/>
      <c r="C839" s="7"/>
      <c r="D839" s="7"/>
      <c r="E839" s="7"/>
      <c r="F839" s="7"/>
    </row>
    <row r="840">
      <c r="A840" s="4"/>
      <c r="B840" s="7"/>
      <c r="C840" s="7"/>
      <c r="D840" s="7"/>
      <c r="E840" s="7"/>
      <c r="F840" s="7"/>
    </row>
    <row r="841">
      <c r="A841" s="4"/>
      <c r="B841" s="7"/>
      <c r="C841" s="7"/>
      <c r="D841" s="7"/>
      <c r="E841" s="7"/>
      <c r="F841" s="7"/>
    </row>
    <row r="842">
      <c r="A842" s="4"/>
      <c r="B842" s="7"/>
      <c r="C842" s="7"/>
      <c r="D842" s="7"/>
      <c r="E842" s="7"/>
      <c r="F842" s="7"/>
    </row>
    <row r="843">
      <c r="A843" s="4"/>
      <c r="B843" s="7"/>
      <c r="C843" s="7"/>
      <c r="D843" s="7"/>
      <c r="E843" s="7"/>
      <c r="F843" s="7"/>
    </row>
    <row r="844">
      <c r="A844" s="4"/>
      <c r="B844" s="7"/>
      <c r="C844" s="7"/>
      <c r="D844" s="7"/>
      <c r="E844" s="7"/>
      <c r="F844" s="7"/>
    </row>
    <row r="845">
      <c r="A845" s="4"/>
      <c r="B845" s="7"/>
      <c r="C845" s="7"/>
      <c r="D845" s="7"/>
      <c r="E845" s="7"/>
      <c r="F845" s="7"/>
    </row>
    <row r="846">
      <c r="A846" s="4"/>
      <c r="B846" s="7"/>
      <c r="C846" s="7"/>
      <c r="D846" s="7"/>
      <c r="E846" s="7"/>
      <c r="F846" s="7"/>
    </row>
    <row r="847">
      <c r="A847" s="4"/>
      <c r="B847" s="7"/>
      <c r="C847" s="7"/>
      <c r="D847" s="7"/>
      <c r="E847" s="7"/>
      <c r="F847" s="7"/>
    </row>
    <row r="848">
      <c r="A848" s="4"/>
      <c r="B848" s="7"/>
      <c r="C848" s="7"/>
      <c r="D848" s="7"/>
      <c r="E848" s="7"/>
      <c r="F848" s="7"/>
    </row>
    <row r="849">
      <c r="A849" s="4"/>
      <c r="B849" s="7"/>
      <c r="C849" s="7"/>
      <c r="D849" s="7"/>
      <c r="E849" s="7"/>
      <c r="F849" s="7"/>
    </row>
    <row r="850">
      <c r="A850" s="4"/>
      <c r="B850" s="7"/>
      <c r="C850" s="7"/>
      <c r="D850" s="7"/>
      <c r="E850" s="7"/>
      <c r="F850" s="7"/>
    </row>
    <row r="851">
      <c r="A851" s="4"/>
      <c r="B851" s="7"/>
      <c r="C851" s="7"/>
      <c r="D851" s="7"/>
      <c r="E851" s="7"/>
      <c r="F851" s="7"/>
    </row>
    <row r="852">
      <c r="A852" s="4"/>
      <c r="B852" s="7"/>
      <c r="C852" s="7"/>
      <c r="D852" s="7"/>
      <c r="E852" s="7"/>
      <c r="F852" s="7"/>
    </row>
    <row r="853">
      <c r="A853" s="4"/>
      <c r="B853" s="7"/>
      <c r="C853" s="7"/>
      <c r="D853" s="7"/>
      <c r="E853" s="7"/>
      <c r="F853" s="7"/>
    </row>
    <row r="854">
      <c r="A854" s="4"/>
      <c r="B854" s="7"/>
      <c r="C854" s="7"/>
      <c r="D854" s="7"/>
      <c r="E854" s="7"/>
      <c r="F854" s="7"/>
    </row>
    <row r="855">
      <c r="A855" s="4"/>
      <c r="B855" s="7"/>
      <c r="C855" s="7"/>
      <c r="D855" s="7"/>
      <c r="E855" s="7"/>
      <c r="F855" s="7"/>
    </row>
    <row r="856">
      <c r="A856" s="4"/>
      <c r="B856" s="7"/>
      <c r="C856" s="7"/>
      <c r="D856" s="7"/>
      <c r="E856" s="7"/>
      <c r="F856" s="7"/>
    </row>
    <row r="857">
      <c r="A857" s="4"/>
      <c r="B857" s="7"/>
      <c r="C857" s="7"/>
      <c r="D857" s="7"/>
      <c r="E857" s="7"/>
      <c r="F857" s="7"/>
    </row>
    <row r="858">
      <c r="A858" s="4"/>
      <c r="B858" s="7"/>
      <c r="C858" s="7"/>
      <c r="D858" s="7"/>
      <c r="E858" s="7"/>
      <c r="F858" s="7"/>
    </row>
    <row r="859">
      <c r="A859" s="4"/>
      <c r="B859" s="7"/>
      <c r="C859" s="7"/>
      <c r="D859" s="7"/>
      <c r="E859" s="7"/>
      <c r="F859" s="7"/>
    </row>
    <row r="860">
      <c r="A860" s="4"/>
      <c r="B860" s="7"/>
      <c r="C860" s="7"/>
      <c r="D860" s="7"/>
      <c r="E860" s="7"/>
      <c r="F860" s="7"/>
    </row>
    <row r="861">
      <c r="A861" s="4"/>
      <c r="B861" s="7"/>
      <c r="C861" s="7"/>
      <c r="D861" s="7"/>
      <c r="E861" s="7"/>
      <c r="F861" s="7"/>
    </row>
    <row r="862">
      <c r="A862" s="4"/>
      <c r="B862" s="7"/>
      <c r="C862" s="7"/>
      <c r="D862" s="7"/>
      <c r="E862" s="7"/>
      <c r="F862" s="7"/>
    </row>
    <row r="863">
      <c r="A863" s="4"/>
      <c r="B863" s="7"/>
      <c r="C863" s="7"/>
      <c r="D863" s="7"/>
      <c r="E863" s="7"/>
      <c r="F863" s="7"/>
    </row>
    <row r="864">
      <c r="A864" s="4"/>
      <c r="B864" s="7"/>
      <c r="C864" s="7"/>
      <c r="D864" s="7"/>
      <c r="E864" s="7"/>
      <c r="F864" s="7"/>
    </row>
    <row r="865">
      <c r="A865" s="4"/>
      <c r="B865" s="7"/>
      <c r="C865" s="7"/>
      <c r="D865" s="7"/>
      <c r="E865" s="7"/>
      <c r="F865" s="7"/>
    </row>
    <row r="866">
      <c r="A866" s="4"/>
      <c r="B866" s="7"/>
      <c r="C866" s="7"/>
      <c r="D866" s="7"/>
      <c r="E866" s="7"/>
      <c r="F866" s="7"/>
    </row>
    <row r="867">
      <c r="A867" s="4"/>
      <c r="B867" s="7"/>
      <c r="C867" s="7"/>
      <c r="D867" s="7"/>
      <c r="E867" s="7"/>
      <c r="F867" s="7"/>
    </row>
    <row r="868">
      <c r="A868" s="4"/>
      <c r="B868" s="7"/>
      <c r="C868" s="7"/>
      <c r="D868" s="7"/>
      <c r="E868" s="7"/>
      <c r="F868" s="7"/>
    </row>
    <row r="869">
      <c r="A869" s="4"/>
      <c r="B869" s="7"/>
      <c r="C869" s="7"/>
      <c r="D869" s="7"/>
      <c r="E869" s="7"/>
      <c r="F869" s="7"/>
    </row>
    <row r="870">
      <c r="A870" s="4"/>
      <c r="B870" s="7"/>
      <c r="C870" s="7"/>
      <c r="D870" s="7"/>
      <c r="E870" s="7"/>
      <c r="F870" s="7"/>
    </row>
    <row r="871">
      <c r="A871" s="4"/>
      <c r="B871" s="7"/>
      <c r="C871" s="7"/>
      <c r="D871" s="7"/>
      <c r="E871" s="7"/>
      <c r="F871" s="7"/>
    </row>
    <row r="872">
      <c r="A872" s="4"/>
      <c r="B872" s="7"/>
      <c r="C872" s="7"/>
      <c r="D872" s="7"/>
      <c r="E872" s="7"/>
      <c r="F872" s="7"/>
    </row>
    <row r="873">
      <c r="A873" s="4"/>
      <c r="B873" s="7"/>
      <c r="C873" s="7"/>
      <c r="D873" s="7"/>
      <c r="E873" s="7"/>
      <c r="F873" s="7"/>
    </row>
    <row r="874">
      <c r="A874" s="4"/>
      <c r="B874" s="7"/>
      <c r="C874" s="7"/>
      <c r="D874" s="7"/>
      <c r="E874" s="7"/>
      <c r="F874" s="7"/>
    </row>
    <row r="875">
      <c r="A875" s="4"/>
      <c r="B875" s="7"/>
      <c r="C875" s="7"/>
      <c r="D875" s="7"/>
      <c r="E875" s="7"/>
      <c r="F875" s="7"/>
    </row>
    <row r="876">
      <c r="A876" s="4"/>
      <c r="B876" s="7"/>
      <c r="C876" s="7"/>
      <c r="D876" s="7"/>
      <c r="E876" s="7"/>
      <c r="F876" s="7"/>
    </row>
    <row r="877">
      <c r="A877" s="4"/>
      <c r="B877" s="7"/>
      <c r="C877" s="7"/>
      <c r="D877" s="7"/>
      <c r="E877" s="7"/>
      <c r="F877" s="7"/>
    </row>
    <row r="878">
      <c r="A878" s="4"/>
      <c r="B878" s="7"/>
      <c r="C878" s="7"/>
      <c r="D878" s="7"/>
      <c r="E878" s="7"/>
      <c r="F878" s="7"/>
    </row>
    <row r="879">
      <c r="A879" s="4"/>
      <c r="B879" s="7"/>
      <c r="C879" s="7"/>
      <c r="D879" s="7"/>
      <c r="E879" s="7"/>
      <c r="F879" s="7"/>
    </row>
    <row r="880">
      <c r="A880" s="4"/>
      <c r="B880" s="7"/>
      <c r="C880" s="7"/>
      <c r="D880" s="7"/>
      <c r="E880" s="7"/>
      <c r="F880" s="7"/>
    </row>
    <row r="881">
      <c r="A881" s="4"/>
      <c r="B881" s="7"/>
      <c r="C881" s="7"/>
      <c r="D881" s="7"/>
      <c r="E881" s="7"/>
      <c r="F881" s="7"/>
    </row>
    <row r="882">
      <c r="A882" s="4"/>
      <c r="B882" s="7"/>
      <c r="C882" s="7"/>
      <c r="D882" s="7"/>
      <c r="E882" s="7"/>
      <c r="F882" s="7"/>
    </row>
    <row r="883">
      <c r="A883" s="4"/>
      <c r="B883" s="7"/>
      <c r="C883" s="7"/>
      <c r="D883" s="7"/>
      <c r="E883" s="7"/>
      <c r="F883" s="7"/>
    </row>
    <row r="884">
      <c r="A884" s="4"/>
      <c r="B884" s="7"/>
      <c r="C884" s="7"/>
      <c r="D884" s="7"/>
      <c r="E884" s="7"/>
      <c r="F884" s="7"/>
    </row>
    <row r="885">
      <c r="A885" s="4"/>
      <c r="B885" s="7"/>
      <c r="C885" s="7"/>
      <c r="D885" s="7"/>
      <c r="E885" s="7"/>
      <c r="F885" s="7"/>
    </row>
    <row r="886">
      <c r="A886" s="4"/>
      <c r="B886" s="7"/>
      <c r="C886" s="7"/>
      <c r="D886" s="7"/>
      <c r="E886" s="7"/>
      <c r="F886" s="7"/>
    </row>
    <row r="887">
      <c r="A887" s="4"/>
      <c r="B887" s="7"/>
      <c r="C887" s="7"/>
      <c r="D887" s="7"/>
      <c r="E887" s="7"/>
      <c r="F887" s="7"/>
    </row>
    <row r="888">
      <c r="A888" s="4"/>
      <c r="B888" s="7"/>
      <c r="C888" s="7"/>
      <c r="D888" s="7"/>
      <c r="E888" s="7"/>
      <c r="F888" s="7"/>
    </row>
    <row r="889">
      <c r="A889" s="4"/>
      <c r="B889" s="7"/>
      <c r="C889" s="7"/>
      <c r="D889" s="7"/>
      <c r="E889" s="7"/>
      <c r="F889" s="7"/>
    </row>
    <row r="890">
      <c r="A890" s="4"/>
      <c r="B890" s="7"/>
      <c r="C890" s="7"/>
      <c r="D890" s="7"/>
      <c r="E890" s="7"/>
      <c r="F890" s="7"/>
    </row>
    <row r="891">
      <c r="A891" s="4"/>
      <c r="B891" s="7"/>
      <c r="C891" s="7"/>
      <c r="D891" s="7"/>
      <c r="E891" s="7"/>
      <c r="F891" s="7"/>
    </row>
    <row r="892">
      <c r="A892" s="4"/>
      <c r="B892" s="7"/>
      <c r="C892" s="7"/>
      <c r="D892" s="7"/>
      <c r="E892" s="7"/>
      <c r="F892" s="7"/>
    </row>
    <row r="893">
      <c r="A893" s="4"/>
      <c r="B893" s="7"/>
      <c r="C893" s="7"/>
      <c r="D893" s="7"/>
      <c r="E893" s="7"/>
      <c r="F893" s="7"/>
    </row>
    <row r="894">
      <c r="A894" s="4"/>
      <c r="B894" s="7"/>
      <c r="C894" s="7"/>
      <c r="D894" s="7"/>
      <c r="E894" s="7"/>
      <c r="F894" s="7"/>
    </row>
    <row r="895">
      <c r="A895" s="4"/>
      <c r="B895" s="7"/>
      <c r="C895" s="7"/>
      <c r="D895" s="7"/>
      <c r="E895" s="7"/>
      <c r="F895" s="7"/>
    </row>
    <row r="896">
      <c r="A896" s="4"/>
      <c r="B896" s="7"/>
      <c r="C896" s="7"/>
      <c r="D896" s="7"/>
      <c r="E896" s="7"/>
      <c r="F896" s="7"/>
    </row>
    <row r="897">
      <c r="A897" s="4"/>
      <c r="B897" s="7"/>
      <c r="C897" s="7"/>
      <c r="D897" s="7"/>
      <c r="E897" s="7"/>
      <c r="F897" s="7"/>
    </row>
    <row r="898">
      <c r="A898" s="4"/>
      <c r="B898" s="7"/>
      <c r="C898" s="7"/>
      <c r="D898" s="7"/>
      <c r="E898" s="7"/>
      <c r="F898" s="7"/>
    </row>
    <row r="899">
      <c r="A899" s="4"/>
      <c r="B899" s="7"/>
      <c r="C899" s="7"/>
      <c r="D899" s="7"/>
      <c r="E899" s="7"/>
      <c r="F899" s="7"/>
    </row>
    <row r="900">
      <c r="A900" s="4"/>
      <c r="B900" s="7"/>
      <c r="C900" s="7"/>
      <c r="D900" s="7"/>
      <c r="E900" s="7"/>
      <c r="F900" s="7"/>
    </row>
    <row r="901">
      <c r="A901" s="4"/>
      <c r="B901" s="7"/>
      <c r="C901" s="7"/>
      <c r="D901" s="7"/>
      <c r="E901" s="7"/>
      <c r="F901" s="7"/>
    </row>
    <row r="902">
      <c r="A902" s="4"/>
      <c r="B902" s="7"/>
      <c r="C902" s="7"/>
      <c r="D902" s="7"/>
      <c r="E902" s="7"/>
      <c r="F902" s="7"/>
    </row>
    <row r="903">
      <c r="A903" s="4"/>
      <c r="B903" s="7"/>
      <c r="C903" s="7"/>
      <c r="D903" s="7"/>
      <c r="E903" s="7"/>
      <c r="F903" s="7"/>
    </row>
    <row r="904">
      <c r="A904" s="4"/>
      <c r="B904" s="7"/>
      <c r="C904" s="7"/>
      <c r="D904" s="7"/>
      <c r="E904" s="7"/>
      <c r="F904" s="7"/>
    </row>
    <row r="905">
      <c r="A905" s="4"/>
      <c r="B905" s="7"/>
      <c r="C905" s="7"/>
      <c r="D905" s="7"/>
      <c r="E905" s="7"/>
      <c r="F905" s="7"/>
    </row>
    <row r="906">
      <c r="A906" s="4"/>
      <c r="B906" s="7"/>
      <c r="C906" s="7"/>
      <c r="D906" s="7"/>
      <c r="E906" s="7"/>
      <c r="F906" s="7"/>
    </row>
    <row r="907">
      <c r="A907" s="4"/>
      <c r="B907" s="7"/>
      <c r="C907" s="7"/>
      <c r="D907" s="7"/>
      <c r="E907" s="7"/>
      <c r="F907" s="7"/>
    </row>
    <row r="908">
      <c r="A908" s="4"/>
      <c r="B908" s="7"/>
      <c r="C908" s="7"/>
      <c r="D908" s="7"/>
      <c r="E908" s="7"/>
      <c r="F908" s="7"/>
    </row>
    <row r="909">
      <c r="A909" s="4"/>
      <c r="B909" s="7"/>
      <c r="C909" s="7"/>
      <c r="D909" s="7"/>
      <c r="E909" s="7"/>
      <c r="F909" s="7"/>
    </row>
    <row r="910">
      <c r="A910" s="4"/>
      <c r="B910" s="7"/>
      <c r="C910" s="7"/>
      <c r="D910" s="7"/>
      <c r="E910" s="7"/>
      <c r="F910" s="7"/>
    </row>
    <row r="911">
      <c r="A911" s="4"/>
      <c r="B911" s="7"/>
      <c r="C911" s="7"/>
      <c r="D911" s="7"/>
      <c r="E911" s="7"/>
      <c r="F911" s="7"/>
    </row>
    <row r="912">
      <c r="A912" s="4"/>
      <c r="B912" s="7"/>
      <c r="C912" s="7"/>
      <c r="D912" s="7"/>
      <c r="E912" s="7"/>
      <c r="F912" s="7"/>
    </row>
    <row r="913">
      <c r="A913" s="4"/>
      <c r="B913" s="7"/>
      <c r="C913" s="7"/>
      <c r="D913" s="7"/>
      <c r="E913" s="7"/>
      <c r="F913" s="7"/>
    </row>
    <row r="914">
      <c r="A914" s="4"/>
      <c r="B914" s="7"/>
      <c r="C914" s="7"/>
      <c r="D914" s="7"/>
      <c r="E914" s="7"/>
      <c r="F914" s="7"/>
    </row>
    <row r="915">
      <c r="A915" s="4"/>
      <c r="B915" s="7"/>
      <c r="C915" s="7"/>
      <c r="D915" s="7"/>
      <c r="E915" s="7"/>
      <c r="F915" s="7"/>
    </row>
    <row r="916">
      <c r="A916" s="4"/>
      <c r="B916" s="7"/>
      <c r="C916" s="7"/>
      <c r="D916" s="7"/>
      <c r="E916" s="7"/>
      <c r="F916" s="7"/>
    </row>
    <row r="917">
      <c r="A917" s="4"/>
      <c r="B917" s="7"/>
      <c r="C917" s="7"/>
      <c r="D917" s="7"/>
      <c r="E917" s="7"/>
      <c r="F917" s="7"/>
    </row>
    <row r="918">
      <c r="A918" s="4"/>
      <c r="B918" s="7"/>
      <c r="C918" s="7"/>
      <c r="D918" s="7"/>
      <c r="E918" s="7"/>
      <c r="F918" s="7"/>
    </row>
    <row r="919">
      <c r="A919" s="4"/>
      <c r="B919" s="7"/>
      <c r="C919" s="7"/>
      <c r="D919" s="7"/>
      <c r="E919" s="7"/>
      <c r="F919" s="7"/>
    </row>
    <row r="920">
      <c r="A920" s="4"/>
      <c r="B920" s="7"/>
      <c r="C920" s="7"/>
      <c r="D920" s="7"/>
      <c r="E920" s="7"/>
      <c r="F920" s="7"/>
    </row>
    <row r="921">
      <c r="A921" s="4"/>
      <c r="B921" s="7"/>
      <c r="C921" s="7"/>
      <c r="D921" s="7"/>
      <c r="E921" s="7"/>
      <c r="F921" s="7"/>
    </row>
    <row r="922">
      <c r="A922" s="4"/>
      <c r="B922" s="7"/>
      <c r="C922" s="7"/>
      <c r="D922" s="7"/>
      <c r="E922" s="7"/>
      <c r="F922" s="7"/>
    </row>
    <row r="923">
      <c r="A923" s="4"/>
      <c r="B923" s="7"/>
      <c r="C923" s="7"/>
      <c r="D923" s="7"/>
      <c r="E923" s="7"/>
      <c r="F923" s="7"/>
    </row>
    <row r="924">
      <c r="A924" s="4"/>
      <c r="B924" s="7"/>
      <c r="C924" s="7"/>
      <c r="D924" s="7"/>
      <c r="E924" s="7"/>
      <c r="F924" s="7"/>
    </row>
    <row r="925">
      <c r="A925" s="4"/>
      <c r="B925" s="7"/>
      <c r="C925" s="7"/>
      <c r="D925" s="7"/>
      <c r="E925" s="7"/>
      <c r="F925" s="7"/>
    </row>
    <row r="926">
      <c r="A926" s="4"/>
      <c r="B926" s="7"/>
      <c r="C926" s="7"/>
      <c r="D926" s="7"/>
      <c r="E926" s="7"/>
      <c r="F926" s="7"/>
    </row>
    <row r="927">
      <c r="A927" s="4"/>
      <c r="B927" s="7"/>
      <c r="C927" s="7"/>
      <c r="D927" s="7"/>
      <c r="E927" s="7"/>
      <c r="F927" s="7"/>
    </row>
    <row r="928">
      <c r="A928" s="4"/>
      <c r="B928" s="7"/>
      <c r="C928" s="7"/>
      <c r="D928" s="7"/>
      <c r="E928" s="7"/>
      <c r="F928" s="7"/>
    </row>
    <row r="929">
      <c r="A929" s="4"/>
      <c r="B929" s="7"/>
      <c r="C929" s="7"/>
      <c r="D929" s="7"/>
      <c r="E929" s="7"/>
      <c r="F929" s="7"/>
    </row>
    <row r="930">
      <c r="A930" s="4"/>
      <c r="B930" s="7"/>
      <c r="C930" s="7"/>
      <c r="D930" s="7"/>
      <c r="E930" s="7"/>
      <c r="F930" s="7"/>
    </row>
    <row r="931">
      <c r="A931" s="4"/>
      <c r="B931" s="7"/>
      <c r="C931" s="7"/>
      <c r="D931" s="7"/>
      <c r="E931" s="7"/>
      <c r="F931" s="7"/>
    </row>
    <row r="932">
      <c r="A932" s="4"/>
      <c r="B932" s="7"/>
      <c r="C932" s="7"/>
      <c r="D932" s="7"/>
      <c r="E932" s="7"/>
      <c r="F932" s="7"/>
    </row>
    <row r="933">
      <c r="A933" s="4"/>
      <c r="B933" s="7"/>
      <c r="C933" s="7"/>
      <c r="D933" s="7"/>
      <c r="E933" s="7"/>
      <c r="F933" s="7"/>
    </row>
    <row r="934">
      <c r="A934" s="4"/>
      <c r="B934" s="7"/>
      <c r="C934" s="7"/>
      <c r="D934" s="7"/>
      <c r="E934" s="7"/>
      <c r="F934" s="7"/>
    </row>
    <row r="935">
      <c r="A935" s="4"/>
      <c r="B935" s="7"/>
      <c r="C935" s="7"/>
      <c r="D935" s="7"/>
      <c r="E935" s="7"/>
      <c r="F935" s="7"/>
    </row>
    <row r="936">
      <c r="A936" s="4"/>
      <c r="B936" s="7"/>
      <c r="C936" s="7"/>
      <c r="D936" s="7"/>
      <c r="E936" s="7"/>
      <c r="F936" s="7"/>
    </row>
    <row r="937">
      <c r="A937" s="4"/>
      <c r="B937" s="7"/>
      <c r="C937" s="7"/>
      <c r="D937" s="7"/>
      <c r="E937" s="7"/>
      <c r="F937" s="7"/>
    </row>
    <row r="938">
      <c r="A938" s="4"/>
      <c r="B938" s="7"/>
      <c r="C938" s="7"/>
      <c r="D938" s="7"/>
      <c r="E938" s="7"/>
      <c r="F938" s="7"/>
    </row>
    <row r="939">
      <c r="A939" s="4"/>
      <c r="B939" s="7"/>
      <c r="C939" s="7"/>
      <c r="D939" s="7"/>
      <c r="E939" s="7"/>
      <c r="F939" s="7"/>
    </row>
    <row r="940">
      <c r="A940" s="4"/>
      <c r="B940" s="7"/>
      <c r="C940" s="7"/>
      <c r="D940" s="7"/>
      <c r="E940" s="7"/>
      <c r="F940" s="7"/>
    </row>
    <row r="941">
      <c r="A941" s="4"/>
      <c r="B941" s="7"/>
      <c r="C941" s="7"/>
      <c r="D941" s="7"/>
      <c r="E941" s="7"/>
      <c r="F941" s="7"/>
    </row>
    <row r="942">
      <c r="A942" s="4"/>
      <c r="B942" s="7"/>
      <c r="C942" s="7"/>
      <c r="D942" s="7"/>
      <c r="E942" s="7"/>
      <c r="F942" s="7"/>
    </row>
    <row r="943">
      <c r="A943" s="4"/>
      <c r="B943" s="7"/>
      <c r="C943" s="7"/>
      <c r="D943" s="7"/>
      <c r="E943" s="7"/>
      <c r="F943" s="7"/>
    </row>
    <row r="944">
      <c r="A944" s="4"/>
      <c r="B944" s="7"/>
      <c r="C944" s="7"/>
      <c r="D944" s="7"/>
      <c r="E944" s="7"/>
      <c r="F944" s="7"/>
    </row>
    <row r="945">
      <c r="A945" s="4"/>
      <c r="B945" s="7"/>
      <c r="C945" s="7"/>
      <c r="D945" s="7"/>
      <c r="E945" s="7"/>
      <c r="F945" s="7"/>
    </row>
    <row r="946">
      <c r="A946" s="4"/>
      <c r="B946" s="7"/>
      <c r="C946" s="7"/>
      <c r="D946" s="7"/>
      <c r="E946" s="7"/>
      <c r="F946" s="7"/>
    </row>
    <row r="947">
      <c r="A947" s="4"/>
      <c r="B947" s="7"/>
      <c r="C947" s="7"/>
      <c r="D947" s="7"/>
      <c r="E947" s="7"/>
      <c r="F947" s="7"/>
    </row>
    <row r="948">
      <c r="A948" s="4"/>
      <c r="B948" s="7"/>
      <c r="C948" s="7"/>
      <c r="D948" s="7"/>
      <c r="E948" s="7"/>
      <c r="F948" s="7"/>
    </row>
    <row r="949">
      <c r="A949" s="4"/>
      <c r="B949" s="7"/>
      <c r="C949" s="7"/>
      <c r="D949" s="7"/>
      <c r="E949" s="7"/>
      <c r="F949" s="7"/>
    </row>
    <row r="950">
      <c r="A950" s="4"/>
      <c r="B950" s="7"/>
      <c r="C950" s="7"/>
      <c r="D950" s="7"/>
      <c r="E950" s="7"/>
      <c r="F950" s="7"/>
    </row>
    <row r="951">
      <c r="A951" s="4"/>
      <c r="B951" s="7"/>
      <c r="C951" s="7"/>
      <c r="D951" s="7"/>
      <c r="E951" s="7"/>
      <c r="F951" s="7"/>
    </row>
    <row r="952">
      <c r="A952" s="4"/>
      <c r="B952" s="7"/>
      <c r="C952" s="7"/>
      <c r="D952" s="7"/>
      <c r="E952" s="7"/>
      <c r="F952" s="7"/>
    </row>
    <row r="953">
      <c r="A953" s="4"/>
      <c r="B953" s="7"/>
      <c r="C953" s="7"/>
      <c r="D953" s="7"/>
      <c r="E953" s="7"/>
      <c r="F953" s="7"/>
    </row>
    <row r="954">
      <c r="A954" s="4"/>
      <c r="B954" s="7"/>
      <c r="C954" s="7"/>
      <c r="D954" s="7"/>
      <c r="E954" s="7"/>
      <c r="F954" s="7"/>
    </row>
    <row r="955">
      <c r="A955" s="4"/>
      <c r="B955" s="7"/>
      <c r="C955" s="7"/>
      <c r="D955" s="7"/>
      <c r="E955" s="7"/>
      <c r="F955" s="7"/>
    </row>
    <row r="956">
      <c r="A956" s="4"/>
      <c r="B956" s="7"/>
      <c r="C956" s="7"/>
      <c r="D956" s="7"/>
      <c r="E956" s="7"/>
      <c r="F956" s="7"/>
    </row>
    <row r="957">
      <c r="A957" s="4"/>
      <c r="B957" s="7"/>
      <c r="C957" s="7"/>
      <c r="D957" s="7"/>
      <c r="E957" s="7"/>
      <c r="F957" s="7"/>
    </row>
    <row r="958">
      <c r="A958" s="4"/>
      <c r="B958" s="7"/>
      <c r="C958" s="7"/>
      <c r="D958" s="7"/>
      <c r="E958" s="7"/>
      <c r="F958" s="7"/>
    </row>
    <row r="959">
      <c r="A959" s="4"/>
      <c r="B959" s="7"/>
      <c r="C959" s="7"/>
      <c r="D959" s="7"/>
      <c r="E959" s="7"/>
      <c r="F959" s="7"/>
    </row>
    <row r="960">
      <c r="A960" s="4"/>
      <c r="B960" s="7"/>
      <c r="C960" s="7"/>
      <c r="D960" s="7"/>
      <c r="E960" s="7"/>
      <c r="F960" s="7"/>
    </row>
    <row r="961">
      <c r="A961" s="4"/>
      <c r="B961" s="7"/>
      <c r="C961" s="7"/>
      <c r="D961" s="7"/>
      <c r="E961" s="7"/>
      <c r="F961" s="7"/>
    </row>
    <row r="962">
      <c r="A962" s="4"/>
      <c r="B962" s="7"/>
      <c r="C962" s="7"/>
      <c r="D962" s="7"/>
      <c r="E962" s="7"/>
      <c r="F962" s="7"/>
    </row>
    <row r="963">
      <c r="A963" s="4"/>
      <c r="B963" s="7"/>
      <c r="C963" s="7"/>
      <c r="D963" s="7"/>
      <c r="E963" s="7"/>
      <c r="F963" s="7"/>
    </row>
    <row r="964">
      <c r="A964" s="4"/>
      <c r="B964" s="7"/>
      <c r="C964" s="7"/>
      <c r="D964" s="7"/>
      <c r="E964" s="7"/>
      <c r="F964" s="7"/>
    </row>
    <row r="965">
      <c r="A965" s="4"/>
      <c r="B965" s="7"/>
      <c r="C965" s="7"/>
      <c r="D965" s="7"/>
      <c r="E965" s="7"/>
      <c r="F965" s="7"/>
    </row>
    <row r="966">
      <c r="A966" s="4"/>
      <c r="B966" s="7"/>
      <c r="C966" s="7"/>
      <c r="D966" s="7"/>
      <c r="E966" s="7"/>
      <c r="F966" s="7"/>
    </row>
    <row r="967">
      <c r="A967" s="4"/>
      <c r="B967" s="7"/>
      <c r="C967" s="7"/>
      <c r="D967" s="7"/>
      <c r="E967" s="7"/>
      <c r="F967" s="7"/>
    </row>
    <row r="968">
      <c r="A968" s="4"/>
      <c r="B968" s="7"/>
      <c r="C968" s="7"/>
      <c r="D968" s="7"/>
      <c r="E968" s="7"/>
      <c r="F968" s="7"/>
    </row>
    <row r="969">
      <c r="A969" s="4"/>
      <c r="B969" s="7"/>
      <c r="C969" s="7"/>
      <c r="D969" s="7"/>
      <c r="E969" s="7"/>
      <c r="F969" s="7"/>
    </row>
    <row r="970">
      <c r="A970" s="4"/>
      <c r="B970" s="7"/>
      <c r="C970" s="7"/>
      <c r="D970" s="7"/>
      <c r="E970" s="7"/>
      <c r="F970" s="7"/>
    </row>
    <row r="971">
      <c r="A971" s="4"/>
      <c r="B971" s="7"/>
      <c r="C971" s="7"/>
      <c r="D971" s="7"/>
      <c r="E971" s="7"/>
      <c r="F971" s="7"/>
    </row>
    <row r="972">
      <c r="A972" s="4"/>
      <c r="B972" s="7"/>
      <c r="C972" s="7"/>
      <c r="D972" s="7"/>
      <c r="E972" s="7"/>
      <c r="F972" s="7"/>
    </row>
    <row r="973">
      <c r="A973" s="4"/>
      <c r="B973" s="7"/>
      <c r="C973" s="7"/>
      <c r="D973" s="7"/>
      <c r="E973" s="7"/>
      <c r="F973" s="7"/>
    </row>
    <row r="974">
      <c r="A974" s="4"/>
      <c r="B974" s="7"/>
      <c r="C974" s="7"/>
      <c r="D974" s="7"/>
      <c r="E974" s="7"/>
      <c r="F974" s="7"/>
    </row>
    <row r="975">
      <c r="A975" s="4"/>
      <c r="B975" s="7"/>
      <c r="C975" s="7"/>
      <c r="D975" s="7"/>
      <c r="E975" s="7"/>
      <c r="F975" s="7"/>
    </row>
    <row r="976">
      <c r="A976" s="4"/>
      <c r="B976" s="7"/>
      <c r="C976" s="7"/>
      <c r="D976" s="7"/>
      <c r="E976" s="7"/>
      <c r="F976" s="7"/>
    </row>
    <row r="977">
      <c r="A977" s="4"/>
      <c r="B977" s="7"/>
      <c r="C977" s="7"/>
      <c r="D977" s="7"/>
      <c r="E977" s="7"/>
      <c r="F977" s="7"/>
    </row>
    <row r="978">
      <c r="A978" s="4"/>
      <c r="B978" s="7"/>
      <c r="C978" s="7"/>
      <c r="D978" s="7"/>
      <c r="E978" s="7"/>
      <c r="F978" s="7"/>
    </row>
    <row r="979">
      <c r="A979" s="4"/>
      <c r="B979" s="7"/>
      <c r="C979" s="7"/>
      <c r="D979" s="7"/>
      <c r="E979" s="7"/>
      <c r="F979" s="7"/>
    </row>
    <row r="980">
      <c r="A980" s="4"/>
      <c r="B980" s="7"/>
      <c r="C980" s="7"/>
      <c r="D980" s="7"/>
      <c r="E980" s="7"/>
      <c r="F980" s="7"/>
    </row>
    <row r="981">
      <c r="A981" s="4"/>
      <c r="B981" s="7"/>
      <c r="C981" s="7"/>
      <c r="D981" s="7"/>
      <c r="E981" s="7"/>
      <c r="F981" s="7"/>
    </row>
    <row r="982">
      <c r="A982" s="4"/>
      <c r="B982" s="7"/>
      <c r="C982" s="7"/>
      <c r="D982" s="7"/>
      <c r="E982" s="7"/>
      <c r="F982" s="7"/>
    </row>
    <row r="983">
      <c r="A983" s="4"/>
      <c r="B983" s="7"/>
      <c r="C983" s="7"/>
      <c r="D983" s="7"/>
      <c r="E983" s="7"/>
      <c r="F983" s="7"/>
    </row>
    <row r="984">
      <c r="A984" s="4"/>
      <c r="B984" s="7"/>
      <c r="C984" s="7"/>
      <c r="D984" s="7"/>
      <c r="E984" s="7"/>
      <c r="F984" s="7"/>
    </row>
    <row r="985">
      <c r="A985" s="4"/>
      <c r="B985" s="7"/>
      <c r="C985" s="7"/>
      <c r="D985" s="7"/>
      <c r="E985" s="7"/>
      <c r="F985" s="7"/>
    </row>
    <row r="986">
      <c r="A986" s="4"/>
      <c r="B986" s="7"/>
      <c r="C986" s="7"/>
      <c r="D986" s="7"/>
      <c r="E986" s="7"/>
      <c r="F986" s="7"/>
    </row>
    <row r="987">
      <c r="A987" s="4"/>
      <c r="B987" s="7"/>
      <c r="C987" s="7"/>
      <c r="D987" s="7"/>
      <c r="E987" s="7"/>
      <c r="F987" s="7"/>
    </row>
    <row r="988">
      <c r="A988" s="4"/>
      <c r="B988" s="7"/>
      <c r="C988" s="7"/>
      <c r="D988" s="7"/>
      <c r="E988" s="7"/>
      <c r="F988" s="7"/>
    </row>
    <row r="989">
      <c r="A989" s="4"/>
      <c r="B989" s="7"/>
      <c r="C989" s="7"/>
      <c r="D989" s="7"/>
      <c r="E989" s="7"/>
      <c r="F989" s="7"/>
    </row>
    <row r="990">
      <c r="A990" s="4"/>
      <c r="B990" s="7"/>
      <c r="C990" s="7"/>
      <c r="D990" s="7"/>
      <c r="E990" s="7"/>
      <c r="F990" s="7"/>
    </row>
    <row r="991">
      <c r="A991" s="4"/>
      <c r="B991" s="7"/>
      <c r="C991" s="7"/>
      <c r="D991" s="7"/>
      <c r="E991" s="7"/>
      <c r="F991" s="7"/>
    </row>
    <row r="992">
      <c r="A992" s="4"/>
      <c r="B992" s="7"/>
      <c r="C992" s="7"/>
      <c r="D992" s="7"/>
      <c r="E992" s="7"/>
      <c r="F992" s="7"/>
    </row>
    <row r="993">
      <c r="A993" s="4"/>
      <c r="B993" s="7"/>
      <c r="C993" s="7"/>
      <c r="D993" s="7"/>
      <c r="E993" s="7"/>
      <c r="F993" s="7"/>
    </row>
    <row r="994">
      <c r="A994" s="4"/>
      <c r="B994" s="7"/>
      <c r="C994" s="7"/>
      <c r="D994" s="7"/>
      <c r="E994" s="7"/>
      <c r="F994" s="7"/>
    </row>
    <row r="995">
      <c r="A995" s="4"/>
      <c r="B995" s="7"/>
      <c r="C995" s="7"/>
      <c r="D995" s="7"/>
      <c r="E995" s="7"/>
      <c r="F995" s="7"/>
    </row>
    <row r="996">
      <c r="A996" s="4"/>
      <c r="B996" s="7"/>
      <c r="C996" s="7"/>
      <c r="D996" s="7"/>
      <c r="E996" s="7"/>
      <c r="F996" s="7"/>
    </row>
    <row r="997">
      <c r="A997" s="4"/>
      <c r="B997" s="7"/>
      <c r="C997" s="7"/>
      <c r="D997" s="7"/>
      <c r="E997" s="7"/>
      <c r="F997" s="7"/>
    </row>
    <row r="998">
      <c r="A998" s="4"/>
      <c r="B998" s="7"/>
      <c r="C998" s="7"/>
      <c r="D998" s="7"/>
      <c r="E998" s="7"/>
      <c r="F998" s="7"/>
    </row>
    <row r="999">
      <c r="A999" s="4"/>
      <c r="B999" s="7"/>
      <c r="C999" s="7"/>
      <c r="D999" s="7"/>
      <c r="E999" s="7"/>
      <c r="F999" s="7"/>
    </row>
    <row r="1000">
      <c r="A1000" s="4"/>
      <c r="B1000" s="7"/>
      <c r="C1000" s="7"/>
      <c r="D1000" s="7"/>
      <c r="E1000" s="7"/>
      <c r="F1000" s="7"/>
    </row>
    <row r="1001">
      <c r="A1001" s="4"/>
      <c r="B1001" s="7"/>
      <c r="C1001" s="7"/>
      <c r="D1001" s="7"/>
      <c r="E1001" s="7"/>
      <c r="F1001" s="7"/>
    </row>
    <row r="1002">
      <c r="A1002" s="4"/>
      <c r="B1002" s="7"/>
      <c r="C1002" s="7"/>
      <c r="D1002" s="7"/>
      <c r="E1002" s="7"/>
      <c r="F1002" s="7"/>
    </row>
    <row r="1003">
      <c r="A1003" s="4"/>
      <c r="B1003" s="7"/>
      <c r="C1003" s="7"/>
      <c r="D1003" s="7"/>
      <c r="E1003" s="7"/>
      <c r="F1003" s="7"/>
    </row>
    <row r="1004">
      <c r="A1004" s="4"/>
      <c r="B1004" s="7"/>
      <c r="C1004" s="7"/>
      <c r="D1004" s="7"/>
      <c r="E1004" s="7"/>
      <c r="F1004" s="7"/>
    </row>
    <row r="1005">
      <c r="A1005" s="4"/>
      <c r="B1005" s="7"/>
      <c r="C1005" s="7"/>
      <c r="D1005" s="7"/>
      <c r="E1005" s="7"/>
      <c r="F1005" s="7"/>
    </row>
    <row r="1006">
      <c r="A1006" s="4"/>
      <c r="B1006" s="7"/>
      <c r="C1006" s="7"/>
      <c r="D1006" s="7"/>
      <c r="E1006" s="7"/>
      <c r="F1006" s="7"/>
    </row>
    <row r="1007">
      <c r="A1007" s="4"/>
      <c r="B1007" s="7"/>
      <c r="C1007" s="7"/>
      <c r="D1007" s="7"/>
      <c r="E1007" s="7"/>
      <c r="F1007" s="7"/>
    </row>
    <row r="1008">
      <c r="A1008" s="4"/>
      <c r="B1008" s="7"/>
      <c r="C1008" s="7"/>
      <c r="D1008" s="7"/>
      <c r="E1008" s="7"/>
      <c r="F1008" s="7"/>
    </row>
    <row r="1009">
      <c r="A1009" s="4"/>
      <c r="B1009" s="7"/>
      <c r="C1009" s="7"/>
      <c r="D1009" s="7"/>
      <c r="E1009" s="7"/>
      <c r="F1009" s="7"/>
    </row>
    <row r="1010">
      <c r="A1010" s="4"/>
      <c r="B1010" s="7"/>
      <c r="C1010" s="7"/>
      <c r="D1010" s="7"/>
      <c r="E1010" s="7"/>
      <c r="F1010" s="7"/>
    </row>
    <row r="1011">
      <c r="A1011" s="4"/>
      <c r="B1011" s="7"/>
      <c r="C1011" s="7"/>
      <c r="D1011" s="7"/>
      <c r="E1011" s="7"/>
      <c r="F1011" s="7"/>
    </row>
    <row r="1012">
      <c r="A1012" s="4"/>
      <c r="B1012" s="7"/>
      <c r="C1012" s="7"/>
      <c r="D1012" s="7"/>
      <c r="E1012" s="7"/>
      <c r="F1012" s="7"/>
    </row>
    <row r="1013">
      <c r="A1013" s="4"/>
      <c r="B1013" s="7"/>
      <c r="C1013" s="7"/>
      <c r="D1013" s="7"/>
      <c r="E1013" s="7"/>
      <c r="F1013" s="7"/>
    </row>
    <row r="1014">
      <c r="A1014" s="4"/>
      <c r="B1014" s="7"/>
      <c r="C1014" s="7"/>
      <c r="D1014" s="7"/>
      <c r="E1014" s="7"/>
      <c r="F1014" s="7"/>
    </row>
    <row r="1015">
      <c r="A1015" s="4"/>
      <c r="B1015" s="7"/>
      <c r="C1015" s="7"/>
      <c r="D1015" s="7"/>
      <c r="E1015" s="7"/>
      <c r="F1015" s="7"/>
    </row>
    <row r="1016">
      <c r="A1016" s="4"/>
      <c r="B1016" s="7"/>
      <c r="C1016" s="7"/>
      <c r="D1016" s="7"/>
      <c r="E1016" s="7"/>
      <c r="F1016" s="7"/>
    </row>
    <row r="1017">
      <c r="A1017" s="4"/>
      <c r="B1017" s="7"/>
      <c r="C1017" s="7"/>
      <c r="D1017" s="7"/>
      <c r="E1017" s="7"/>
      <c r="F1017" s="7"/>
    </row>
    <row r="1018">
      <c r="A1018" s="4"/>
      <c r="B1018" s="7"/>
      <c r="C1018" s="7"/>
      <c r="D1018" s="7"/>
      <c r="E1018" s="7"/>
      <c r="F1018" s="7"/>
    </row>
    <row r="1019">
      <c r="A1019" s="4"/>
      <c r="B1019" s="7"/>
      <c r="C1019" s="7"/>
      <c r="D1019" s="7"/>
      <c r="E1019" s="7"/>
      <c r="F1019" s="7"/>
    </row>
    <row r="1020">
      <c r="A1020" s="4"/>
      <c r="B1020" s="7"/>
      <c r="C1020" s="7"/>
      <c r="D1020" s="7"/>
      <c r="E1020" s="7"/>
      <c r="F1020" s="7"/>
    </row>
    <row r="1021">
      <c r="A1021" s="4"/>
      <c r="B1021" s="7"/>
      <c r="C1021" s="7"/>
      <c r="D1021" s="7"/>
      <c r="E1021" s="7"/>
      <c r="F1021" s="7"/>
    </row>
    <row r="1022">
      <c r="A1022" s="4"/>
      <c r="B1022" s="7"/>
      <c r="C1022" s="7"/>
      <c r="D1022" s="7"/>
      <c r="E1022" s="7"/>
      <c r="F1022" s="7"/>
    </row>
    <row r="1023">
      <c r="A1023" s="4"/>
      <c r="B1023" s="7"/>
      <c r="C1023" s="7"/>
      <c r="D1023" s="7"/>
      <c r="E1023" s="7"/>
      <c r="F1023" s="7"/>
    </row>
    <row r="1024">
      <c r="A1024" s="4"/>
      <c r="B1024" s="7"/>
      <c r="C1024" s="7"/>
      <c r="D1024" s="7"/>
      <c r="E1024" s="7"/>
      <c r="F1024" s="7"/>
    </row>
    <row r="1025">
      <c r="A1025" s="4"/>
      <c r="B1025" s="7"/>
      <c r="C1025" s="7"/>
      <c r="D1025" s="7"/>
      <c r="E1025" s="7"/>
      <c r="F1025" s="7"/>
    </row>
    <row r="1026">
      <c r="A1026" s="4"/>
      <c r="B1026" s="7"/>
      <c r="C1026" s="7"/>
      <c r="D1026" s="7"/>
      <c r="E1026" s="7"/>
      <c r="F1026" s="7"/>
    </row>
    <row r="1027">
      <c r="A1027" s="4"/>
      <c r="B1027" s="7"/>
      <c r="C1027" s="7"/>
      <c r="D1027" s="7"/>
      <c r="E1027" s="7"/>
      <c r="F1027" s="7"/>
    </row>
    <row r="1028">
      <c r="A1028" s="4"/>
      <c r="B1028" s="7"/>
      <c r="C1028" s="7"/>
      <c r="D1028" s="7"/>
      <c r="E1028" s="7"/>
      <c r="F1028" s="7"/>
    </row>
    <row r="1029">
      <c r="A1029" s="4"/>
      <c r="B1029" s="7"/>
      <c r="C1029" s="7"/>
      <c r="D1029" s="7"/>
      <c r="E1029" s="7"/>
      <c r="F1029" s="7"/>
    </row>
    <row r="1030">
      <c r="A1030" s="4"/>
      <c r="B1030" s="7"/>
      <c r="C1030" s="7"/>
      <c r="D1030" s="7"/>
      <c r="E1030" s="7"/>
      <c r="F1030" s="7"/>
    </row>
    <row r="1031">
      <c r="A1031" s="4"/>
      <c r="B1031" s="7"/>
      <c r="C1031" s="7"/>
      <c r="D1031" s="7"/>
      <c r="E1031" s="7"/>
      <c r="F1031" s="7"/>
    </row>
    <row r="1032">
      <c r="A1032" s="4"/>
      <c r="B1032" s="7"/>
      <c r="C1032" s="7"/>
      <c r="D1032" s="7"/>
      <c r="E1032" s="7"/>
      <c r="F1032" s="7"/>
    </row>
    <row r="1033">
      <c r="A1033" s="4"/>
      <c r="B1033" s="7"/>
      <c r="C1033" s="7"/>
      <c r="D1033" s="7"/>
      <c r="E1033" s="7"/>
      <c r="F1033" s="7"/>
    </row>
    <row r="1034">
      <c r="A1034" s="4"/>
      <c r="B1034" s="7"/>
      <c r="C1034" s="7"/>
      <c r="D1034" s="7"/>
      <c r="E1034" s="7"/>
      <c r="F1034" s="7"/>
    </row>
    <row r="1035">
      <c r="A1035" s="4"/>
      <c r="B1035" s="7"/>
      <c r="C1035" s="7"/>
      <c r="D1035" s="7"/>
      <c r="E1035" s="7"/>
      <c r="F1035" s="7"/>
    </row>
    <row r="1036">
      <c r="A1036" s="4"/>
      <c r="B1036" s="7"/>
      <c r="C1036" s="7"/>
      <c r="D1036" s="7"/>
      <c r="E1036" s="7"/>
      <c r="F1036" s="7"/>
    </row>
    <row r="1037">
      <c r="A1037" s="4"/>
      <c r="B1037" s="7"/>
      <c r="C1037" s="7"/>
      <c r="D1037" s="7"/>
      <c r="E1037" s="7"/>
      <c r="F1037" s="7"/>
    </row>
    <row r="1038">
      <c r="A1038" s="4"/>
      <c r="B1038" s="7"/>
      <c r="C1038" s="7"/>
      <c r="D1038" s="7"/>
      <c r="E1038" s="7"/>
      <c r="F1038" s="7"/>
    </row>
    <row r="1039">
      <c r="A1039" s="4"/>
      <c r="B1039" s="7"/>
      <c r="C1039" s="7"/>
      <c r="D1039" s="7"/>
      <c r="E1039" s="7"/>
      <c r="F1039" s="7"/>
    </row>
    <row r="1040">
      <c r="A1040" s="4"/>
      <c r="B1040" s="7"/>
      <c r="C1040" s="7"/>
      <c r="D1040" s="7"/>
      <c r="E1040" s="7"/>
      <c r="F1040" s="7"/>
    </row>
    <row r="1041">
      <c r="A1041" s="4"/>
      <c r="B1041" s="7"/>
      <c r="C1041" s="7"/>
      <c r="D1041" s="7"/>
      <c r="E1041" s="7"/>
      <c r="F1041" s="7"/>
    </row>
    <row r="1042">
      <c r="A1042" s="4"/>
      <c r="B1042" s="7"/>
      <c r="C1042" s="7"/>
      <c r="D1042" s="7"/>
      <c r="E1042" s="7"/>
      <c r="F1042" s="7"/>
    </row>
    <row r="1043">
      <c r="A1043" s="4"/>
      <c r="B1043" s="7"/>
      <c r="C1043" s="7"/>
      <c r="D1043" s="7"/>
      <c r="E1043" s="7"/>
      <c r="F1043" s="7"/>
    </row>
    <row r="1044">
      <c r="A1044" s="4"/>
      <c r="B1044" s="7"/>
      <c r="C1044" s="7"/>
      <c r="D1044" s="7"/>
      <c r="E1044" s="7"/>
      <c r="F1044" s="7"/>
    </row>
    <row r="1045">
      <c r="A1045" s="4"/>
      <c r="B1045" s="7"/>
      <c r="C1045" s="7"/>
      <c r="D1045" s="7"/>
      <c r="E1045" s="7"/>
      <c r="F1045" s="7"/>
    </row>
    <row r="1046">
      <c r="A1046" s="4"/>
      <c r="B1046" s="7"/>
      <c r="C1046" s="7"/>
      <c r="D1046" s="7"/>
      <c r="E1046" s="7"/>
      <c r="F1046" s="7"/>
    </row>
    <row r="1047">
      <c r="A1047" s="4"/>
      <c r="B1047" s="7"/>
      <c r="C1047" s="7"/>
      <c r="D1047" s="7"/>
      <c r="E1047" s="7"/>
      <c r="F1047" s="7"/>
    </row>
    <row r="1048">
      <c r="A1048" s="4"/>
      <c r="B1048" s="7"/>
      <c r="C1048" s="7"/>
      <c r="D1048" s="7"/>
      <c r="E1048" s="7"/>
      <c r="F1048" s="7"/>
    </row>
    <row r="1049">
      <c r="A1049" s="4"/>
      <c r="B1049" s="7"/>
      <c r="C1049" s="7"/>
      <c r="D1049" s="7"/>
      <c r="E1049" s="7"/>
      <c r="F1049" s="7"/>
    </row>
    <row r="1050">
      <c r="A1050" s="4"/>
      <c r="B1050" s="7"/>
      <c r="C1050" s="7"/>
      <c r="D1050" s="7"/>
      <c r="E1050" s="7"/>
      <c r="F1050" s="7"/>
    </row>
    <row r="1051">
      <c r="A1051" s="4"/>
      <c r="B1051" s="7"/>
      <c r="C1051" s="7"/>
      <c r="D1051" s="7"/>
      <c r="E1051" s="7"/>
      <c r="F1051" s="7"/>
    </row>
    <row r="1052">
      <c r="A1052" s="4"/>
      <c r="B1052" s="7"/>
      <c r="C1052" s="7"/>
      <c r="D1052" s="7"/>
      <c r="E1052" s="7"/>
      <c r="F1052" s="7"/>
    </row>
    <row r="1053">
      <c r="A1053" s="4"/>
      <c r="B1053" s="7"/>
      <c r="C1053" s="7"/>
      <c r="D1053" s="7"/>
      <c r="E1053" s="7"/>
      <c r="F1053" s="7"/>
    </row>
    <row r="1054">
      <c r="A1054" s="4"/>
      <c r="B1054" s="7"/>
      <c r="C1054" s="7"/>
      <c r="D1054" s="7"/>
      <c r="E1054" s="7"/>
      <c r="F1054" s="7"/>
    </row>
    <row r="1055">
      <c r="A1055" s="4"/>
      <c r="B1055" s="7"/>
      <c r="C1055" s="7"/>
      <c r="D1055" s="7"/>
      <c r="E1055" s="7"/>
      <c r="F1055" s="7"/>
    </row>
    <row r="1056">
      <c r="A1056" s="4"/>
      <c r="B1056" s="7"/>
      <c r="C1056" s="7"/>
      <c r="D1056" s="7"/>
      <c r="E1056" s="7"/>
      <c r="F1056" s="7"/>
    </row>
    <row r="1057">
      <c r="A1057" s="4"/>
      <c r="B1057" s="7"/>
      <c r="C1057" s="7"/>
      <c r="D1057" s="7"/>
      <c r="E1057" s="7"/>
      <c r="F1057" s="7"/>
    </row>
    <row r="1058">
      <c r="A1058" s="4"/>
      <c r="B1058" s="7"/>
      <c r="C1058" s="7"/>
      <c r="D1058" s="7"/>
      <c r="E1058" s="7"/>
      <c r="F1058" s="7"/>
    </row>
    <row r="1059">
      <c r="A1059" s="4"/>
      <c r="B1059" s="7"/>
      <c r="C1059" s="7"/>
      <c r="D1059" s="7"/>
      <c r="E1059" s="7"/>
      <c r="F1059" s="7"/>
    </row>
    <row r="1060">
      <c r="A1060" s="4"/>
      <c r="B1060" s="7"/>
      <c r="C1060" s="7"/>
      <c r="D1060" s="7"/>
      <c r="E1060" s="7"/>
      <c r="F1060" s="7"/>
    </row>
    <row r="1061">
      <c r="A1061" s="4"/>
      <c r="B1061" s="7"/>
      <c r="C1061" s="7"/>
      <c r="D1061" s="7"/>
      <c r="E1061" s="7"/>
      <c r="F1061" s="7"/>
    </row>
    <row r="1062">
      <c r="A1062" s="4"/>
      <c r="B1062" s="7"/>
      <c r="C1062" s="7"/>
      <c r="D1062" s="7"/>
      <c r="E1062" s="7"/>
      <c r="F1062" s="7"/>
    </row>
    <row r="1063">
      <c r="A1063" s="4"/>
      <c r="B1063" s="7"/>
      <c r="C1063" s="7"/>
      <c r="D1063" s="7"/>
      <c r="E1063" s="7"/>
      <c r="F1063" s="7"/>
    </row>
    <row r="1064">
      <c r="A1064" s="4"/>
      <c r="B1064" s="7"/>
      <c r="C1064" s="7"/>
      <c r="D1064" s="7"/>
      <c r="E1064" s="7"/>
      <c r="F1064" s="7"/>
    </row>
    <row r="1065">
      <c r="A1065" s="4"/>
      <c r="B1065" s="7"/>
      <c r="C1065" s="7"/>
      <c r="D1065" s="7"/>
      <c r="E1065" s="7"/>
      <c r="F1065" s="7"/>
    </row>
    <row r="1066">
      <c r="A1066" s="4"/>
      <c r="B1066" s="7"/>
      <c r="C1066" s="7"/>
      <c r="D1066" s="7"/>
      <c r="E1066" s="7"/>
      <c r="F1066" s="7"/>
    </row>
    <row r="1067">
      <c r="A1067" s="4"/>
      <c r="B1067" s="7"/>
      <c r="C1067" s="7"/>
      <c r="D1067" s="7"/>
      <c r="E1067" s="7"/>
      <c r="F1067" s="7"/>
    </row>
    <row r="1068">
      <c r="A1068" s="4"/>
      <c r="B1068" s="7"/>
      <c r="C1068" s="7"/>
      <c r="D1068" s="7"/>
      <c r="E1068" s="7"/>
      <c r="F1068" s="7"/>
    </row>
    <row r="1069">
      <c r="A1069" s="4"/>
      <c r="B1069" s="7"/>
      <c r="C1069" s="7"/>
      <c r="D1069" s="7"/>
      <c r="E1069" s="7"/>
      <c r="F1069" s="7"/>
    </row>
    <row r="1070">
      <c r="A1070" s="4"/>
      <c r="B1070" s="7"/>
      <c r="C1070" s="7"/>
      <c r="D1070" s="7"/>
      <c r="E1070" s="7"/>
      <c r="F1070" s="7"/>
    </row>
    <row r="1071">
      <c r="A1071" s="4"/>
      <c r="B1071" s="7"/>
      <c r="C1071" s="7"/>
      <c r="D1071" s="7"/>
      <c r="E1071" s="7"/>
      <c r="F1071" s="7"/>
    </row>
    <row r="1072">
      <c r="A1072" s="4"/>
      <c r="B1072" s="7"/>
      <c r="C1072" s="7"/>
      <c r="D1072" s="7"/>
      <c r="E1072" s="7"/>
      <c r="F1072" s="7"/>
    </row>
    <row r="1073">
      <c r="A1073" s="4"/>
      <c r="B1073" s="7"/>
      <c r="C1073" s="7"/>
      <c r="D1073" s="7"/>
      <c r="E1073" s="7"/>
      <c r="F1073" s="7"/>
    </row>
    <row r="1074">
      <c r="A1074" s="4"/>
      <c r="B1074" s="7"/>
      <c r="C1074" s="7"/>
      <c r="D1074" s="7"/>
      <c r="E1074" s="7"/>
      <c r="F1074" s="7"/>
    </row>
    <row r="1075">
      <c r="A1075" s="4"/>
      <c r="B1075" s="7"/>
      <c r="C1075" s="7"/>
      <c r="D1075" s="7"/>
      <c r="E1075" s="7"/>
      <c r="F1075" s="7"/>
    </row>
    <row r="1076">
      <c r="A1076" s="4"/>
      <c r="B1076" s="7"/>
      <c r="C1076" s="7"/>
      <c r="D1076" s="7"/>
      <c r="E1076" s="7"/>
      <c r="F1076" s="7"/>
    </row>
    <row r="1077">
      <c r="A1077" s="4"/>
      <c r="B1077" s="7"/>
      <c r="C1077" s="7"/>
      <c r="D1077" s="7"/>
      <c r="E1077" s="7"/>
      <c r="F1077" s="7"/>
    </row>
    <row r="1078">
      <c r="A1078" s="4"/>
      <c r="B1078" s="7"/>
      <c r="C1078" s="7"/>
      <c r="D1078" s="7"/>
      <c r="E1078" s="7"/>
      <c r="F1078" s="7"/>
    </row>
    <row r="1079">
      <c r="A1079" s="4"/>
      <c r="B1079" s="7"/>
      <c r="C1079" s="7"/>
      <c r="D1079" s="7"/>
      <c r="E1079" s="7"/>
      <c r="F1079" s="7"/>
    </row>
    <row r="1080">
      <c r="A1080" s="4"/>
      <c r="B1080" s="7"/>
      <c r="C1080" s="7"/>
      <c r="D1080" s="7"/>
      <c r="E1080" s="7"/>
      <c r="F1080" s="7"/>
    </row>
    <row r="1081">
      <c r="A1081" s="4"/>
      <c r="B1081" s="7"/>
      <c r="C1081" s="7"/>
      <c r="D1081" s="7"/>
      <c r="E1081" s="7"/>
      <c r="F1081" s="7"/>
    </row>
    <row r="1082">
      <c r="A1082" s="4"/>
      <c r="B1082" s="7"/>
      <c r="C1082" s="7"/>
      <c r="D1082" s="7"/>
      <c r="E1082" s="7"/>
      <c r="F1082" s="7"/>
    </row>
    <row r="1083">
      <c r="A1083" s="4"/>
      <c r="B1083" s="7"/>
      <c r="C1083" s="7"/>
      <c r="D1083" s="7"/>
      <c r="E1083" s="7"/>
      <c r="F1083" s="7"/>
    </row>
    <row r="1084">
      <c r="A1084" s="4"/>
      <c r="B1084" s="7"/>
      <c r="C1084" s="7"/>
      <c r="D1084" s="7"/>
      <c r="E1084" s="7"/>
      <c r="F1084" s="7"/>
    </row>
  </sheetData>
  <mergeCells count="39">
    <mergeCell ref="B4:F5"/>
    <mergeCell ref="B6:F8"/>
    <mergeCell ref="B9:F11"/>
    <mergeCell ref="B14:F14"/>
    <mergeCell ref="B15:F15"/>
    <mergeCell ref="B16:F17"/>
    <mergeCell ref="B18:F20"/>
    <mergeCell ref="B23:F24"/>
    <mergeCell ref="B30:F31"/>
    <mergeCell ref="B32:F33"/>
    <mergeCell ref="B35:F35"/>
    <mergeCell ref="B36:F36"/>
    <mergeCell ref="B37:F37"/>
    <mergeCell ref="B39:E39"/>
    <mergeCell ref="B40:F43"/>
    <mergeCell ref="B44:F45"/>
    <mergeCell ref="B46:F48"/>
    <mergeCell ref="B49:F54"/>
    <mergeCell ref="B55:F58"/>
    <mergeCell ref="B59:F60"/>
    <mergeCell ref="B61:F61"/>
    <mergeCell ref="B62:F62"/>
    <mergeCell ref="B63:D63"/>
    <mergeCell ref="B64:F69"/>
    <mergeCell ref="B70:F71"/>
    <mergeCell ref="B72:F72"/>
    <mergeCell ref="B73:F73"/>
    <mergeCell ref="B75:F80"/>
    <mergeCell ref="B100:F101"/>
    <mergeCell ref="B102:F103"/>
    <mergeCell ref="B104:F105"/>
    <mergeCell ref="B106:F107"/>
    <mergeCell ref="B81:F81"/>
    <mergeCell ref="B82:F86"/>
    <mergeCell ref="B87:F89"/>
    <mergeCell ref="B91:F92"/>
    <mergeCell ref="B93:F94"/>
    <mergeCell ref="B95:C95"/>
    <mergeCell ref="B96:F9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10"/>
      <c r="C1" s="164" t="s">
        <v>182</v>
      </c>
      <c r="D1" s="164" t="s">
        <v>183</v>
      </c>
      <c r="E1" s="1" t="s">
        <v>184</v>
      </c>
      <c r="H1" s="1" t="s">
        <v>6</v>
      </c>
      <c r="I1" s="1" t="s">
        <v>185</v>
      </c>
      <c r="J1" s="1" t="s">
        <v>186</v>
      </c>
    </row>
    <row r="2">
      <c r="B2" s="110" t="s">
        <v>12</v>
      </c>
      <c r="C2" s="165" t="s">
        <v>187</v>
      </c>
      <c r="D2" s="166">
        <v>1.0</v>
      </c>
      <c r="E2" s="16"/>
      <c r="G2" s="110" t="s">
        <v>12</v>
      </c>
      <c r="H2" s="167">
        <v>1.0</v>
      </c>
      <c r="I2" s="165">
        <v>14.0</v>
      </c>
      <c r="J2" s="168">
        <v>43466.0</v>
      </c>
    </row>
    <row r="3">
      <c r="B3" s="110" t="s">
        <v>18</v>
      </c>
      <c r="C3" s="165" t="s">
        <v>187</v>
      </c>
      <c r="D3" s="166">
        <v>2.0</v>
      </c>
      <c r="E3" s="16"/>
      <c r="G3" s="110" t="s">
        <v>25</v>
      </c>
      <c r="H3" s="167">
        <v>1.0</v>
      </c>
      <c r="I3" s="165">
        <v>40.0</v>
      </c>
      <c r="J3" s="168">
        <v>43466.0</v>
      </c>
    </row>
    <row r="4">
      <c r="B4" s="110" t="s">
        <v>66</v>
      </c>
      <c r="C4" s="165" t="s">
        <v>187</v>
      </c>
      <c r="D4" s="166">
        <v>3.0</v>
      </c>
      <c r="E4" s="16"/>
      <c r="G4" s="110" t="s">
        <v>66</v>
      </c>
      <c r="H4" s="167">
        <v>1.0</v>
      </c>
      <c r="I4" s="165">
        <v>42.0</v>
      </c>
      <c r="J4" s="168">
        <v>43466.0</v>
      </c>
    </row>
    <row r="5">
      <c r="B5" s="110" t="s">
        <v>25</v>
      </c>
      <c r="C5" s="165" t="s">
        <v>187</v>
      </c>
      <c r="D5" s="169">
        <v>4.0</v>
      </c>
      <c r="E5" s="16"/>
      <c r="G5" s="110" t="s">
        <v>26</v>
      </c>
      <c r="H5" s="167">
        <v>1.0</v>
      </c>
      <c r="I5" s="165">
        <v>58.0</v>
      </c>
      <c r="J5" s="168">
        <v>43466.0</v>
      </c>
    </row>
    <row r="6">
      <c r="B6" s="110" t="s">
        <v>26</v>
      </c>
      <c r="C6" s="165" t="s">
        <v>187</v>
      </c>
      <c r="D6" s="166">
        <v>6.0</v>
      </c>
      <c r="E6" s="16"/>
      <c r="G6" s="110" t="s">
        <v>18</v>
      </c>
      <c r="H6" s="167">
        <v>1.0</v>
      </c>
      <c r="I6" s="165">
        <v>77.0</v>
      </c>
      <c r="J6" s="168">
        <v>43466.0</v>
      </c>
    </row>
    <row r="7">
      <c r="B7" s="110" t="s">
        <v>20</v>
      </c>
      <c r="C7" s="165" t="s">
        <v>187</v>
      </c>
      <c r="D7" s="166">
        <v>7.0</v>
      </c>
      <c r="E7" s="16"/>
      <c r="G7" s="167" t="s">
        <v>70</v>
      </c>
      <c r="H7" s="167">
        <v>1.0</v>
      </c>
      <c r="I7" s="165">
        <v>80.0</v>
      </c>
      <c r="J7" s="168">
        <v>43466.0</v>
      </c>
    </row>
    <row r="8">
      <c r="B8" s="167" t="s">
        <v>70</v>
      </c>
      <c r="C8" s="165" t="s">
        <v>187</v>
      </c>
      <c r="D8" s="166">
        <v>8.0</v>
      </c>
      <c r="E8" s="16"/>
      <c r="G8" s="110" t="s">
        <v>20</v>
      </c>
      <c r="H8" s="167">
        <v>1.0</v>
      </c>
      <c r="I8" s="165">
        <v>85.0</v>
      </c>
      <c r="J8" s="168">
        <v>43466.0</v>
      </c>
    </row>
    <row r="9">
      <c r="B9" s="110" t="s">
        <v>28</v>
      </c>
      <c r="C9" s="165" t="s">
        <v>187</v>
      </c>
      <c r="D9" s="166">
        <v>9.0</v>
      </c>
      <c r="E9" s="16"/>
      <c r="G9" s="110" t="s">
        <v>100</v>
      </c>
      <c r="H9" s="167">
        <v>2.0</v>
      </c>
      <c r="I9" s="165">
        <v>1.0</v>
      </c>
      <c r="J9" s="168">
        <v>43497.0</v>
      </c>
    </row>
    <row r="10">
      <c r="B10" s="110" t="s">
        <v>41</v>
      </c>
      <c r="C10" s="165" t="s">
        <v>187</v>
      </c>
      <c r="D10" s="166">
        <v>10.0</v>
      </c>
      <c r="E10" s="16"/>
      <c r="G10" s="110" t="s">
        <v>40</v>
      </c>
      <c r="H10" s="167">
        <v>2.0</v>
      </c>
      <c r="I10" s="165">
        <v>4.0</v>
      </c>
      <c r="J10" s="168">
        <v>43497.0</v>
      </c>
    </row>
    <row r="11">
      <c r="B11" s="110" t="s">
        <v>100</v>
      </c>
      <c r="C11" s="165" t="s">
        <v>187</v>
      </c>
      <c r="D11" s="166">
        <v>11.0</v>
      </c>
      <c r="E11" s="16"/>
      <c r="G11" s="110" t="s">
        <v>28</v>
      </c>
      <c r="H11" s="167">
        <v>2.0</v>
      </c>
      <c r="I11" s="165">
        <v>7.0</v>
      </c>
      <c r="J11" s="168">
        <v>43497.0</v>
      </c>
    </row>
    <row r="12">
      <c r="B12" s="110" t="s">
        <v>47</v>
      </c>
      <c r="C12" s="165" t="s">
        <v>187</v>
      </c>
      <c r="D12" s="166">
        <v>12.0</v>
      </c>
      <c r="E12" s="16"/>
      <c r="G12" s="110" t="s">
        <v>45</v>
      </c>
      <c r="H12" s="167">
        <v>2.0</v>
      </c>
      <c r="I12" s="165">
        <v>28.0</v>
      </c>
      <c r="J12" s="168">
        <v>43497.0</v>
      </c>
    </row>
    <row r="13">
      <c r="B13" s="110" t="s">
        <v>45</v>
      </c>
      <c r="C13" s="165" t="s">
        <v>187</v>
      </c>
      <c r="D13" s="166">
        <v>13.0</v>
      </c>
      <c r="E13" s="16"/>
      <c r="G13" s="110" t="s">
        <v>102</v>
      </c>
      <c r="H13" s="167">
        <v>2.0</v>
      </c>
      <c r="I13" s="165">
        <v>37.0</v>
      </c>
      <c r="J13" s="168">
        <v>43497.0</v>
      </c>
    </row>
    <row r="14">
      <c r="B14" s="110" t="s">
        <v>102</v>
      </c>
      <c r="C14" s="165" t="s">
        <v>187</v>
      </c>
      <c r="D14" s="166">
        <v>15.0</v>
      </c>
      <c r="E14" s="16"/>
      <c r="G14" s="110" t="s">
        <v>37</v>
      </c>
      <c r="H14" s="167">
        <v>2.0</v>
      </c>
      <c r="I14" s="165">
        <v>38.0</v>
      </c>
      <c r="J14" s="168">
        <v>43497.0</v>
      </c>
    </row>
    <row r="15">
      <c r="B15" s="110" t="s">
        <v>49</v>
      </c>
      <c r="C15" s="165" t="s">
        <v>187</v>
      </c>
      <c r="D15" s="166">
        <v>16.0</v>
      </c>
      <c r="E15" s="16"/>
      <c r="G15" s="110" t="s">
        <v>47</v>
      </c>
      <c r="H15" s="167">
        <v>2.0</v>
      </c>
      <c r="I15" s="165">
        <v>39.0</v>
      </c>
      <c r="J15" s="168">
        <v>43497.0</v>
      </c>
    </row>
    <row r="16">
      <c r="B16" s="110" t="s">
        <v>37</v>
      </c>
      <c r="C16" s="165" t="s">
        <v>187</v>
      </c>
      <c r="D16" s="166">
        <v>17.0</v>
      </c>
      <c r="E16" s="16"/>
      <c r="G16" s="110" t="s">
        <v>41</v>
      </c>
      <c r="H16" s="167">
        <v>2.0</v>
      </c>
      <c r="I16" s="165">
        <v>49.0</v>
      </c>
      <c r="J16" s="168">
        <v>43498.0</v>
      </c>
    </row>
    <row r="17">
      <c r="B17" s="110" t="s">
        <v>40</v>
      </c>
      <c r="C17" s="165" t="s">
        <v>187</v>
      </c>
      <c r="D17" s="166">
        <v>18.0</v>
      </c>
      <c r="E17" s="16"/>
      <c r="G17" s="167" t="s">
        <v>38</v>
      </c>
      <c r="H17" s="167">
        <v>2.0</v>
      </c>
      <c r="I17" s="165">
        <v>73.0</v>
      </c>
      <c r="J17" s="168">
        <v>43498.0</v>
      </c>
    </row>
    <row r="18">
      <c r="B18" s="110" t="s">
        <v>33</v>
      </c>
      <c r="C18" s="165" t="s">
        <v>187</v>
      </c>
      <c r="D18" s="166">
        <v>19.0</v>
      </c>
      <c r="E18" s="16"/>
      <c r="G18" s="110" t="s">
        <v>98</v>
      </c>
      <c r="H18" s="167">
        <v>2.0</v>
      </c>
      <c r="I18" s="165">
        <v>74.0</v>
      </c>
      <c r="J18" s="168">
        <v>43498.0</v>
      </c>
    </row>
    <row r="19">
      <c r="B19" s="110" t="s">
        <v>31</v>
      </c>
      <c r="C19" s="165" t="s">
        <v>187</v>
      </c>
      <c r="D19" s="166">
        <v>20.0</v>
      </c>
      <c r="E19" s="16"/>
      <c r="G19" s="110" t="s">
        <v>33</v>
      </c>
      <c r="H19" s="167">
        <v>2.0</v>
      </c>
      <c r="I19" s="165">
        <v>75.0</v>
      </c>
      <c r="J19" s="168">
        <v>43498.0</v>
      </c>
    </row>
    <row r="20">
      <c r="B20" s="110" t="s">
        <v>103</v>
      </c>
      <c r="C20" s="165" t="s">
        <v>187</v>
      </c>
      <c r="D20" s="166">
        <v>22.0</v>
      </c>
      <c r="E20" s="16"/>
      <c r="G20" s="110" t="s">
        <v>103</v>
      </c>
      <c r="H20" s="167">
        <v>2.0</v>
      </c>
      <c r="I20" s="165">
        <v>75.0</v>
      </c>
      <c r="J20" s="168">
        <v>43498.0</v>
      </c>
    </row>
    <row r="21">
      <c r="B21" s="167" t="s">
        <v>38</v>
      </c>
      <c r="C21" s="165" t="s">
        <v>187</v>
      </c>
      <c r="D21" s="166">
        <v>23.0</v>
      </c>
      <c r="E21" s="16"/>
      <c r="G21" s="110" t="s">
        <v>49</v>
      </c>
      <c r="H21" s="167">
        <v>2.0</v>
      </c>
      <c r="I21" s="165">
        <v>76.0</v>
      </c>
      <c r="J21" s="168">
        <v>43498.0</v>
      </c>
    </row>
    <row r="22">
      <c r="B22" s="110" t="s">
        <v>98</v>
      </c>
      <c r="C22" s="165" t="s">
        <v>187</v>
      </c>
      <c r="D22" s="166">
        <v>24.0</v>
      </c>
      <c r="E22" s="16"/>
      <c r="G22" s="110" t="s">
        <v>31</v>
      </c>
      <c r="H22" s="167">
        <v>2.0</v>
      </c>
      <c r="I22" s="165">
        <v>76.0</v>
      </c>
      <c r="J22" s="168">
        <v>43498.0</v>
      </c>
    </row>
    <row r="23">
      <c r="B23" s="110" t="s">
        <v>58</v>
      </c>
      <c r="C23" s="165" t="s">
        <v>187</v>
      </c>
      <c r="D23" s="166">
        <v>25.0</v>
      </c>
      <c r="E23" s="16"/>
      <c r="G23" s="110" t="s">
        <v>128</v>
      </c>
      <c r="H23" s="167">
        <v>3.0</v>
      </c>
      <c r="I23" s="165">
        <v>8.0</v>
      </c>
      <c r="J23" s="168">
        <v>43525.0</v>
      </c>
    </row>
    <row r="24">
      <c r="B24" s="110" t="s">
        <v>79</v>
      </c>
      <c r="C24" s="165" t="s">
        <v>187</v>
      </c>
      <c r="D24" s="166">
        <v>26.0</v>
      </c>
      <c r="E24" s="16"/>
      <c r="G24" s="110" t="s">
        <v>78</v>
      </c>
      <c r="H24" s="167">
        <v>3.0</v>
      </c>
      <c r="I24" s="165">
        <v>10.0</v>
      </c>
      <c r="J24" s="168">
        <v>43525.0</v>
      </c>
    </row>
    <row r="25">
      <c r="B25" s="110" t="s">
        <v>60</v>
      </c>
      <c r="C25" s="165" t="s">
        <v>187</v>
      </c>
      <c r="D25" s="166">
        <v>28.0</v>
      </c>
      <c r="E25" s="16"/>
      <c r="G25" s="110" t="s">
        <v>90</v>
      </c>
      <c r="H25" s="167">
        <v>3.0</v>
      </c>
      <c r="I25" s="165">
        <v>11.0</v>
      </c>
      <c r="J25" s="168">
        <v>43525.0</v>
      </c>
    </row>
    <row r="26">
      <c r="B26" s="110" t="s">
        <v>53</v>
      </c>
      <c r="C26" s="165" t="s">
        <v>187</v>
      </c>
      <c r="D26" s="166">
        <v>30.0</v>
      </c>
      <c r="E26" s="16"/>
      <c r="G26" s="110" t="s">
        <v>126</v>
      </c>
      <c r="H26" s="167">
        <v>3.0</v>
      </c>
      <c r="I26" s="165">
        <v>15.0</v>
      </c>
      <c r="J26" s="168">
        <v>43525.0</v>
      </c>
    </row>
    <row r="27">
      <c r="B27" s="110" t="s">
        <v>71</v>
      </c>
      <c r="C27" s="165" t="s">
        <v>187</v>
      </c>
      <c r="D27" s="166">
        <v>31.0</v>
      </c>
      <c r="E27" s="16"/>
      <c r="G27" s="110" t="s">
        <v>84</v>
      </c>
      <c r="H27" s="167">
        <v>3.0</v>
      </c>
      <c r="I27" s="165">
        <v>18.0</v>
      </c>
      <c r="J27" s="168">
        <v>43525.0</v>
      </c>
    </row>
    <row r="28">
      <c r="B28" s="110" t="s">
        <v>85</v>
      </c>
      <c r="C28" s="165" t="s">
        <v>187</v>
      </c>
      <c r="D28" s="166">
        <v>32.0</v>
      </c>
      <c r="E28" s="16"/>
      <c r="G28" s="110" t="s">
        <v>63</v>
      </c>
      <c r="H28" s="167">
        <v>3.0</v>
      </c>
      <c r="I28" s="165">
        <v>20.0</v>
      </c>
      <c r="J28" s="168">
        <v>43525.0</v>
      </c>
    </row>
    <row r="29">
      <c r="B29" s="110" t="s">
        <v>87</v>
      </c>
      <c r="C29" s="165" t="s">
        <v>187</v>
      </c>
      <c r="D29" s="166">
        <v>33.0</v>
      </c>
      <c r="E29" s="16"/>
      <c r="G29" s="110" t="s">
        <v>58</v>
      </c>
      <c r="H29" s="167">
        <v>3.0</v>
      </c>
      <c r="I29" s="165">
        <v>30.0</v>
      </c>
      <c r="J29" s="168">
        <v>43525.0</v>
      </c>
    </row>
    <row r="30">
      <c r="B30" s="110" t="s">
        <v>81</v>
      </c>
      <c r="C30" s="165" t="s">
        <v>187</v>
      </c>
      <c r="D30" s="166">
        <v>34.0</v>
      </c>
      <c r="E30" s="16"/>
      <c r="G30" s="110" t="s">
        <v>133</v>
      </c>
      <c r="H30" s="167">
        <v>3.0</v>
      </c>
      <c r="I30" s="165">
        <v>32.0</v>
      </c>
      <c r="J30" s="168">
        <v>43526.0</v>
      </c>
    </row>
    <row r="31">
      <c r="B31" s="110" t="s">
        <v>90</v>
      </c>
      <c r="C31" s="165" t="s">
        <v>187</v>
      </c>
      <c r="D31" s="166">
        <v>36.0</v>
      </c>
      <c r="E31" s="16"/>
      <c r="G31" s="110" t="s">
        <v>60</v>
      </c>
      <c r="H31" s="167">
        <v>3.0</v>
      </c>
      <c r="I31" s="165">
        <v>48.0</v>
      </c>
      <c r="J31" s="168">
        <v>43526.0</v>
      </c>
    </row>
    <row r="32">
      <c r="B32" s="110" t="s">
        <v>78</v>
      </c>
      <c r="C32" s="165" t="s">
        <v>187</v>
      </c>
      <c r="D32" s="166">
        <v>38.0</v>
      </c>
      <c r="E32" s="16"/>
      <c r="G32" s="110" t="s">
        <v>75</v>
      </c>
      <c r="H32" s="167">
        <v>3.0</v>
      </c>
      <c r="I32" s="165">
        <v>48.0</v>
      </c>
      <c r="J32" s="168">
        <v>43526.0</v>
      </c>
    </row>
    <row r="33">
      <c r="B33" s="110" t="s">
        <v>75</v>
      </c>
      <c r="C33" s="165" t="s">
        <v>187</v>
      </c>
      <c r="D33" s="166">
        <v>39.0</v>
      </c>
      <c r="E33" s="16"/>
      <c r="G33" s="110" t="s">
        <v>83</v>
      </c>
      <c r="H33" s="167">
        <v>3.0</v>
      </c>
      <c r="I33" s="165">
        <v>56.0</v>
      </c>
      <c r="J33" s="168">
        <v>43526.0</v>
      </c>
    </row>
    <row r="34">
      <c r="B34" s="110" t="s">
        <v>84</v>
      </c>
      <c r="C34" s="165" t="s">
        <v>187</v>
      </c>
      <c r="D34" s="166">
        <v>40.0</v>
      </c>
      <c r="E34" s="16"/>
      <c r="G34" s="110" t="s">
        <v>87</v>
      </c>
      <c r="H34" s="167">
        <v>3.0</v>
      </c>
      <c r="I34" s="165">
        <v>57.0</v>
      </c>
      <c r="J34" s="168">
        <v>43526.0</v>
      </c>
    </row>
    <row r="35">
      <c r="B35" s="110" t="s">
        <v>63</v>
      </c>
      <c r="C35" s="165" t="s">
        <v>187</v>
      </c>
      <c r="D35" s="166">
        <v>43.0</v>
      </c>
      <c r="E35" s="16"/>
      <c r="G35" s="110" t="s">
        <v>79</v>
      </c>
      <c r="H35" s="167">
        <v>3.0</v>
      </c>
      <c r="I35" s="165">
        <v>63.0</v>
      </c>
      <c r="J35" s="168">
        <v>43526.0</v>
      </c>
    </row>
    <row r="36">
      <c r="B36" s="110" t="s">
        <v>125</v>
      </c>
      <c r="C36" s="165" t="s">
        <v>187</v>
      </c>
      <c r="D36" s="166">
        <v>44.0</v>
      </c>
      <c r="E36" s="16"/>
      <c r="G36" s="110" t="s">
        <v>124</v>
      </c>
      <c r="H36" s="167">
        <v>3.0</v>
      </c>
      <c r="I36" s="165">
        <v>63.0</v>
      </c>
      <c r="J36" s="168">
        <v>43526.0</v>
      </c>
    </row>
    <row r="37">
      <c r="B37" s="110" t="s">
        <v>126</v>
      </c>
      <c r="C37" s="165" t="s">
        <v>187</v>
      </c>
      <c r="D37" s="166">
        <v>45.0</v>
      </c>
      <c r="E37" s="16"/>
      <c r="G37" s="110" t="s">
        <v>71</v>
      </c>
      <c r="H37" s="167">
        <v>3.0</v>
      </c>
      <c r="I37" s="165">
        <v>64.0</v>
      </c>
      <c r="J37" s="168">
        <v>43527.0</v>
      </c>
    </row>
    <row r="38">
      <c r="B38" s="110" t="s">
        <v>124</v>
      </c>
      <c r="C38" s="165" t="s">
        <v>187</v>
      </c>
      <c r="D38" s="166">
        <v>47.0</v>
      </c>
      <c r="E38" s="16"/>
      <c r="G38" s="110" t="s">
        <v>81</v>
      </c>
      <c r="H38" s="167">
        <v>3.0</v>
      </c>
      <c r="I38" s="165">
        <v>70.0</v>
      </c>
      <c r="J38" s="168">
        <v>43527.0</v>
      </c>
    </row>
    <row r="39">
      <c r="B39" s="110" t="s">
        <v>83</v>
      </c>
      <c r="C39" s="165" t="s">
        <v>187</v>
      </c>
      <c r="D39" s="166">
        <v>48.0</v>
      </c>
      <c r="E39" s="16"/>
      <c r="G39" s="110" t="s">
        <v>125</v>
      </c>
      <c r="H39" s="167">
        <v>3.0</v>
      </c>
      <c r="I39" s="165">
        <v>76.0</v>
      </c>
      <c r="J39" s="168">
        <v>43527.0</v>
      </c>
    </row>
    <row r="40">
      <c r="B40" s="110" t="s">
        <v>88</v>
      </c>
      <c r="C40" s="165" t="s">
        <v>187</v>
      </c>
      <c r="D40" s="166">
        <v>49.0</v>
      </c>
      <c r="E40" s="16"/>
      <c r="G40" s="110" t="s">
        <v>85</v>
      </c>
      <c r="H40" s="167">
        <v>3.0</v>
      </c>
      <c r="I40" s="165">
        <v>77.0</v>
      </c>
      <c r="J40" s="168">
        <v>43527.0</v>
      </c>
    </row>
    <row r="41">
      <c r="B41" s="110" t="s">
        <v>133</v>
      </c>
      <c r="C41" s="165" t="s">
        <v>187</v>
      </c>
      <c r="D41" s="166">
        <v>50.0</v>
      </c>
      <c r="E41" s="16"/>
      <c r="G41" s="110" t="s">
        <v>131</v>
      </c>
      <c r="H41" s="167">
        <v>3.0</v>
      </c>
      <c r="I41" s="165">
        <v>79.0</v>
      </c>
      <c r="J41" s="168">
        <v>43527.0</v>
      </c>
    </row>
    <row r="42">
      <c r="B42" s="110" t="s">
        <v>128</v>
      </c>
      <c r="C42" s="165" t="s">
        <v>187</v>
      </c>
      <c r="D42" s="166">
        <v>51.0</v>
      </c>
      <c r="E42" s="16"/>
      <c r="G42" s="110" t="s">
        <v>53</v>
      </c>
      <c r="H42" s="167">
        <v>3.0</v>
      </c>
      <c r="I42" s="165">
        <v>85.0</v>
      </c>
      <c r="J42" s="168">
        <v>43527.0</v>
      </c>
    </row>
    <row r="43">
      <c r="B43" s="110" t="s">
        <v>131</v>
      </c>
      <c r="C43" s="165" t="s">
        <v>187</v>
      </c>
      <c r="D43" s="166">
        <v>52.0</v>
      </c>
      <c r="E43" s="16"/>
      <c r="G43" s="110" t="s">
        <v>88</v>
      </c>
      <c r="H43" s="167">
        <v>3.0</v>
      </c>
      <c r="I43" s="165">
        <v>96.0</v>
      </c>
      <c r="J43" s="168">
        <v>43527.0</v>
      </c>
    </row>
    <row r="44">
      <c r="B44" s="110" t="s">
        <v>139</v>
      </c>
      <c r="C44" s="165" t="s">
        <v>187</v>
      </c>
      <c r="D44" s="166">
        <v>53.0</v>
      </c>
      <c r="E44" s="16"/>
      <c r="G44" s="167" t="s">
        <v>93</v>
      </c>
      <c r="H44" s="167">
        <v>4.0</v>
      </c>
      <c r="I44" s="165">
        <v>4.0</v>
      </c>
      <c r="J44" s="168">
        <v>43556.0</v>
      </c>
    </row>
    <row r="45">
      <c r="B45" s="110" t="s">
        <v>95</v>
      </c>
      <c r="C45" s="165" t="s">
        <v>187</v>
      </c>
      <c r="D45" s="166">
        <v>54.0</v>
      </c>
      <c r="E45" s="16"/>
      <c r="G45" s="24" t="s">
        <v>115</v>
      </c>
      <c r="H45" s="167">
        <v>4.0</v>
      </c>
      <c r="I45" s="165">
        <v>6.0</v>
      </c>
      <c r="J45" s="168">
        <v>43556.0</v>
      </c>
    </row>
    <row r="46">
      <c r="B46" s="110" t="s">
        <v>142</v>
      </c>
      <c r="C46" s="165" t="s">
        <v>187</v>
      </c>
      <c r="D46" s="166">
        <v>55.0</v>
      </c>
      <c r="E46" s="16"/>
      <c r="G46" s="110" t="s">
        <v>136</v>
      </c>
      <c r="H46" s="167">
        <v>4.0</v>
      </c>
      <c r="I46" s="165">
        <v>9.0</v>
      </c>
      <c r="J46" s="168">
        <v>43556.0</v>
      </c>
    </row>
    <row r="47">
      <c r="B47" s="110" t="s">
        <v>144</v>
      </c>
      <c r="C47" s="165" t="s">
        <v>187</v>
      </c>
      <c r="D47" s="166">
        <v>56.0</v>
      </c>
      <c r="E47" s="16"/>
      <c r="G47" s="24" t="s">
        <v>120</v>
      </c>
      <c r="H47" s="167">
        <v>4.0</v>
      </c>
      <c r="I47" s="165">
        <v>17.0</v>
      </c>
      <c r="J47" s="168">
        <v>43556.0</v>
      </c>
    </row>
    <row r="48">
      <c r="B48" s="110" t="s">
        <v>111</v>
      </c>
      <c r="C48" s="165" t="s">
        <v>187</v>
      </c>
      <c r="D48" s="166">
        <v>58.0</v>
      </c>
      <c r="E48" s="16"/>
      <c r="G48" s="167" t="s">
        <v>97</v>
      </c>
      <c r="H48" s="167">
        <v>4.0</v>
      </c>
      <c r="I48" s="165">
        <v>20.0</v>
      </c>
      <c r="J48" s="168">
        <v>43556.0</v>
      </c>
    </row>
    <row r="49">
      <c r="B49" s="110" t="s">
        <v>137</v>
      </c>
      <c r="C49" s="165" t="s">
        <v>187</v>
      </c>
      <c r="D49" s="166">
        <v>59.0</v>
      </c>
      <c r="E49" s="16"/>
      <c r="G49" s="167" t="s">
        <v>107</v>
      </c>
      <c r="H49" s="167">
        <v>4.0</v>
      </c>
      <c r="I49" s="165">
        <v>23.0</v>
      </c>
      <c r="J49" s="168">
        <v>43556.0</v>
      </c>
    </row>
    <row r="50">
      <c r="B50" s="110" t="s">
        <v>136</v>
      </c>
      <c r="C50" s="165" t="s">
        <v>187</v>
      </c>
      <c r="D50" s="166">
        <v>60.0</v>
      </c>
      <c r="E50" s="16"/>
      <c r="G50" s="110" t="s">
        <v>139</v>
      </c>
      <c r="H50" s="167">
        <v>4.0</v>
      </c>
      <c r="I50" s="165">
        <v>29.0</v>
      </c>
      <c r="J50" s="168">
        <v>43556.0</v>
      </c>
    </row>
    <row r="51">
      <c r="B51" s="110" t="s">
        <v>189</v>
      </c>
      <c r="C51" s="166"/>
      <c r="D51" s="166">
        <v>5.0</v>
      </c>
      <c r="E51" s="16"/>
      <c r="G51" s="24" t="s">
        <v>122</v>
      </c>
      <c r="H51" s="167">
        <v>4.0</v>
      </c>
      <c r="I51" s="165">
        <v>29.0</v>
      </c>
      <c r="J51" s="168">
        <v>43557.0</v>
      </c>
    </row>
    <row r="52">
      <c r="B52" s="110" t="s">
        <v>190</v>
      </c>
      <c r="C52" s="166"/>
      <c r="D52" s="166">
        <v>14.0</v>
      </c>
      <c r="E52" s="16"/>
      <c r="G52" s="24" t="s">
        <v>91</v>
      </c>
      <c r="H52" s="167">
        <v>4.0</v>
      </c>
      <c r="I52" s="165">
        <v>39.0</v>
      </c>
      <c r="J52" s="168">
        <v>43557.0</v>
      </c>
    </row>
    <row r="53">
      <c r="B53" s="167" t="s">
        <v>191</v>
      </c>
      <c r="C53" s="166"/>
      <c r="D53" s="166">
        <v>21.0</v>
      </c>
      <c r="E53" s="16"/>
      <c r="G53" s="24" t="s">
        <v>106</v>
      </c>
      <c r="H53" s="167">
        <v>4.0</v>
      </c>
      <c r="I53" s="165">
        <v>40.0</v>
      </c>
      <c r="J53" s="168">
        <v>43557.0</v>
      </c>
    </row>
    <row r="54">
      <c r="B54" s="110" t="s">
        <v>192</v>
      </c>
      <c r="C54" s="166"/>
      <c r="D54" s="166">
        <v>27.0</v>
      </c>
      <c r="E54" s="16"/>
      <c r="G54" s="24" t="s">
        <v>112</v>
      </c>
      <c r="H54" s="167">
        <v>4.0</v>
      </c>
      <c r="I54" s="165">
        <v>44.0</v>
      </c>
      <c r="J54" s="168">
        <v>43557.0</v>
      </c>
    </row>
    <row r="55">
      <c r="B55" s="110" t="s">
        <v>193</v>
      </c>
      <c r="C55" s="166"/>
      <c r="D55" s="166">
        <v>29.0</v>
      </c>
      <c r="E55" s="16"/>
      <c r="G55" s="110" t="s">
        <v>137</v>
      </c>
      <c r="H55" s="167">
        <v>4.0</v>
      </c>
      <c r="I55" s="165">
        <v>48.0</v>
      </c>
      <c r="J55" s="168">
        <v>43557.0</v>
      </c>
    </row>
    <row r="56">
      <c r="B56" s="110" t="s">
        <v>194</v>
      </c>
      <c r="C56" s="166"/>
      <c r="D56" s="166">
        <v>35.0</v>
      </c>
      <c r="E56" s="16"/>
      <c r="G56" s="110" t="s">
        <v>142</v>
      </c>
      <c r="H56" s="167">
        <v>4.0</v>
      </c>
      <c r="I56" s="165">
        <v>49.0</v>
      </c>
      <c r="J56" s="168">
        <v>43557.0</v>
      </c>
    </row>
    <row r="57">
      <c r="B57" s="110" t="s">
        <v>195</v>
      </c>
      <c r="C57" s="166"/>
      <c r="D57" s="166">
        <v>37.0</v>
      </c>
      <c r="E57" s="16"/>
      <c r="G57" s="24" t="s">
        <v>94</v>
      </c>
      <c r="H57" s="167">
        <v>4.0</v>
      </c>
      <c r="I57" s="165">
        <v>51.0</v>
      </c>
      <c r="J57" s="168">
        <v>43557.0</v>
      </c>
    </row>
    <row r="58">
      <c r="B58" s="110" t="s">
        <v>196</v>
      </c>
      <c r="C58" s="166"/>
      <c r="D58" s="166">
        <v>41.0</v>
      </c>
      <c r="E58" s="16"/>
      <c r="G58" s="110" t="s">
        <v>95</v>
      </c>
      <c r="H58" s="167">
        <v>4.0</v>
      </c>
      <c r="I58" s="165">
        <v>64.0</v>
      </c>
      <c r="J58" s="168">
        <v>43558.0</v>
      </c>
    </row>
    <row r="59">
      <c r="B59" s="110" t="s">
        <v>197</v>
      </c>
      <c r="C59" s="166"/>
      <c r="D59" s="166">
        <v>42.0</v>
      </c>
      <c r="E59" s="16"/>
      <c r="G59" s="110" t="s">
        <v>144</v>
      </c>
      <c r="H59" s="167">
        <v>4.0</v>
      </c>
      <c r="I59" s="165">
        <v>74.0</v>
      </c>
      <c r="J59" s="168">
        <v>43558.0</v>
      </c>
    </row>
    <row r="60">
      <c r="B60" s="110" t="s">
        <v>198</v>
      </c>
      <c r="C60" s="166"/>
      <c r="D60" s="166">
        <v>46.0</v>
      </c>
      <c r="E60" s="16"/>
      <c r="G60" s="24" t="s">
        <v>140</v>
      </c>
      <c r="H60" s="167">
        <v>4.0</v>
      </c>
      <c r="I60" s="165">
        <v>76.0</v>
      </c>
      <c r="J60" s="168">
        <v>43558.0</v>
      </c>
    </row>
    <row r="61">
      <c r="B61" s="110" t="s">
        <v>199</v>
      </c>
      <c r="C61" s="166"/>
      <c r="D61" s="166">
        <v>57.0</v>
      </c>
      <c r="E61" s="16"/>
      <c r="G61" s="24" t="s">
        <v>104</v>
      </c>
      <c r="H61" s="167">
        <v>4.0</v>
      </c>
      <c r="I61" s="165">
        <v>79.0</v>
      </c>
      <c r="J61" s="168">
        <v>43558.0</v>
      </c>
    </row>
    <row r="62">
      <c r="B62" s="110" t="s">
        <v>200</v>
      </c>
      <c r="C62" s="166"/>
      <c r="D62" s="166">
        <v>61.0</v>
      </c>
      <c r="E62" s="16"/>
      <c r="G62" s="24" t="s">
        <v>117</v>
      </c>
      <c r="H62" s="167">
        <v>4.0</v>
      </c>
      <c r="I62" s="165">
        <v>80.0</v>
      </c>
      <c r="J62" s="168">
        <v>43558.0</v>
      </c>
    </row>
    <row r="63">
      <c r="B63" s="110" t="s">
        <v>201</v>
      </c>
      <c r="C63" s="166"/>
      <c r="D63" s="166">
        <v>62.0</v>
      </c>
      <c r="E63" s="16"/>
      <c r="G63" s="110" t="s">
        <v>111</v>
      </c>
      <c r="H63" s="167">
        <v>4.0</v>
      </c>
      <c r="I63" s="165">
        <v>81.0</v>
      </c>
      <c r="J63" s="168">
        <v>43558.0</v>
      </c>
    </row>
    <row r="64">
      <c r="C64" s="16"/>
      <c r="D64" s="16"/>
      <c r="E64" s="16"/>
      <c r="G64" s="167" t="s">
        <v>92</v>
      </c>
      <c r="H64" s="167">
        <v>4.0</v>
      </c>
      <c r="I64" s="165">
        <v>81.0</v>
      </c>
      <c r="J64" s="168">
        <v>43558.0</v>
      </c>
    </row>
    <row r="65">
      <c r="B65" s="167" t="s">
        <v>97</v>
      </c>
      <c r="C65" s="9" t="s">
        <v>187</v>
      </c>
      <c r="D65" s="9" t="s">
        <v>202</v>
      </c>
      <c r="E65" s="9" t="s">
        <v>203</v>
      </c>
      <c r="G65" s="167" t="s">
        <v>123</v>
      </c>
      <c r="H65" s="167">
        <v>4.0</v>
      </c>
      <c r="I65" s="165">
        <v>87.0</v>
      </c>
      <c r="J65" s="168">
        <v>43558.0</v>
      </c>
    </row>
    <row r="66">
      <c r="B66" s="167" t="s">
        <v>107</v>
      </c>
      <c r="C66" s="9" t="s">
        <v>187</v>
      </c>
      <c r="D66" s="9" t="s">
        <v>204</v>
      </c>
      <c r="E66" s="9">
        <v>44.0</v>
      </c>
    </row>
    <row r="67">
      <c r="B67" s="167" t="s">
        <v>93</v>
      </c>
      <c r="C67" s="9" t="s">
        <v>187</v>
      </c>
      <c r="D67" s="9" t="s">
        <v>204</v>
      </c>
      <c r="E67" s="9">
        <v>40.0</v>
      </c>
    </row>
    <row r="68">
      <c r="B68" s="167" t="s">
        <v>92</v>
      </c>
      <c r="C68" s="9" t="s">
        <v>187</v>
      </c>
      <c r="D68" s="9" t="s">
        <v>204</v>
      </c>
      <c r="E68" s="9">
        <v>40.0</v>
      </c>
    </row>
    <row r="69">
      <c r="B69" s="24" t="s">
        <v>91</v>
      </c>
      <c r="C69" s="9" t="s">
        <v>187</v>
      </c>
      <c r="D69" s="9" t="s">
        <v>204</v>
      </c>
      <c r="E69" s="9">
        <v>37.0</v>
      </c>
    </row>
    <row r="70">
      <c r="B70" s="24" t="s">
        <v>120</v>
      </c>
      <c r="C70" s="9" t="s">
        <v>187</v>
      </c>
      <c r="D70" s="9" t="s">
        <v>204</v>
      </c>
      <c r="E70" s="9">
        <v>35.0</v>
      </c>
    </row>
    <row r="71">
      <c r="B71" s="24" t="s">
        <v>115</v>
      </c>
      <c r="C71" s="9" t="s">
        <v>187</v>
      </c>
      <c r="D71" s="9" t="s">
        <v>204</v>
      </c>
      <c r="E71" s="9">
        <v>34.0</v>
      </c>
    </row>
    <row r="72">
      <c r="B72" s="24" t="s">
        <v>94</v>
      </c>
      <c r="C72" s="9" t="s">
        <v>187</v>
      </c>
      <c r="D72" s="9" t="s">
        <v>204</v>
      </c>
      <c r="E72" s="9">
        <v>33.0</v>
      </c>
    </row>
    <row r="73">
      <c r="B73" s="24" t="s">
        <v>117</v>
      </c>
      <c r="C73" s="9" t="s">
        <v>187</v>
      </c>
      <c r="D73" s="9" t="s">
        <v>204</v>
      </c>
      <c r="E73" s="9">
        <v>33.0</v>
      </c>
    </row>
    <row r="74">
      <c r="B74" s="24" t="s">
        <v>122</v>
      </c>
      <c r="C74" s="9" t="s">
        <v>187</v>
      </c>
      <c r="D74" s="9" t="s">
        <v>204</v>
      </c>
      <c r="E74" s="9">
        <v>31.0</v>
      </c>
    </row>
    <row r="75">
      <c r="B75" s="24" t="s">
        <v>106</v>
      </c>
      <c r="C75" s="9" t="s">
        <v>187</v>
      </c>
      <c r="D75" s="9" t="s">
        <v>204</v>
      </c>
      <c r="E75" s="9">
        <v>30.0</v>
      </c>
    </row>
    <row r="76">
      <c r="B76" s="24" t="s">
        <v>140</v>
      </c>
      <c r="C76" s="9" t="s">
        <v>187</v>
      </c>
      <c r="D76" s="9" t="s">
        <v>204</v>
      </c>
      <c r="E76" s="9">
        <v>20.0</v>
      </c>
    </row>
    <row r="77">
      <c r="B77" s="167" t="s">
        <v>123</v>
      </c>
      <c r="C77" s="9" t="s">
        <v>187</v>
      </c>
      <c r="D77" s="9" t="s">
        <v>204</v>
      </c>
      <c r="E77" s="9">
        <v>11.0</v>
      </c>
    </row>
    <row r="78">
      <c r="B78" s="24" t="s">
        <v>112</v>
      </c>
      <c r="C78" s="9" t="s">
        <v>187</v>
      </c>
      <c r="D78" s="9" t="s">
        <v>204</v>
      </c>
      <c r="E78" s="9">
        <v>10.0</v>
      </c>
    </row>
    <row r="79">
      <c r="B79" s="24" t="s">
        <v>104</v>
      </c>
      <c r="C79" s="9" t="s">
        <v>187</v>
      </c>
      <c r="D79" s="9" t="s">
        <v>204</v>
      </c>
      <c r="E79" s="9">
        <v>3.0</v>
      </c>
    </row>
    <row r="80">
      <c r="B80" s="24"/>
      <c r="C80" s="16"/>
      <c r="D80" s="16"/>
      <c r="E80" s="16"/>
    </row>
    <row r="81">
      <c r="B81" s="32" t="s">
        <v>206</v>
      </c>
      <c r="C81" s="170">
        <f>COUNTIF(C2:C80,"yes")</f>
        <v>64</v>
      </c>
      <c r="D81" s="16"/>
      <c r="E81" s="16"/>
    </row>
    <row r="82">
      <c r="C82" s="16"/>
      <c r="D82" s="16"/>
      <c r="E82" s="16"/>
    </row>
    <row r="83">
      <c r="C83" s="16"/>
      <c r="D83" s="16"/>
      <c r="E83" s="16"/>
    </row>
    <row r="84">
      <c r="C84" s="16"/>
      <c r="D84" s="16"/>
      <c r="E84" s="16"/>
    </row>
    <row r="85">
      <c r="C85" s="16"/>
      <c r="D85" s="16"/>
      <c r="E85" s="16"/>
    </row>
    <row r="86">
      <c r="C86" s="16"/>
      <c r="D86" s="16"/>
      <c r="E86" s="16"/>
    </row>
    <row r="87">
      <c r="C87" s="16"/>
      <c r="D87" s="16"/>
      <c r="E87" s="16"/>
    </row>
    <row r="88">
      <c r="C88" s="16"/>
      <c r="D88" s="16"/>
      <c r="E88" s="16"/>
    </row>
    <row r="89">
      <c r="C89" s="16"/>
      <c r="D89" s="16"/>
      <c r="E89" s="16"/>
    </row>
    <row r="90">
      <c r="C90" s="16"/>
      <c r="D90" s="16"/>
      <c r="E90" s="16"/>
    </row>
    <row r="91">
      <c r="C91" s="16"/>
      <c r="D91" s="16"/>
      <c r="E91" s="16"/>
    </row>
    <row r="92">
      <c r="C92" s="16"/>
      <c r="D92" s="16"/>
      <c r="E92" s="16"/>
    </row>
    <row r="93">
      <c r="C93" s="16"/>
      <c r="D93" s="16"/>
      <c r="E93" s="16"/>
    </row>
    <row r="94">
      <c r="C94" s="16"/>
      <c r="D94" s="16"/>
      <c r="E94" s="16"/>
    </row>
    <row r="95">
      <c r="C95" s="16"/>
      <c r="D95" s="16"/>
      <c r="E95" s="16"/>
    </row>
    <row r="96">
      <c r="C96" s="16"/>
      <c r="D96" s="16"/>
      <c r="E96" s="16"/>
    </row>
    <row r="97">
      <c r="C97" s="16"/>
      <c r="D97" s="16"/>
      <c r="E97" s="16"/>
    </row>
    <row r="98">
      <c r="C98" s="16"/>
      <c r="D98" s="16"/>
      <c r="E98" s="16"/>
    </row>
    <row r="99">
      <c r="C99" s="16"/>
      <c r="D99" s="16"/>
      <c r="E99" s="16"/>
    </row>
    <row r="100">
      <c r="C100" s="16"/>
      <c r="D100" s="16"/>
      <c r="E100" s="16"/>
    </row>
    <row r="101">
      <c r="C101" s="16"/>
      <c r="D101" s="16"/>
      <c r="E101" s="16"/>
    </row>
    <row r="102">
      <c r="C102" s="16"/>
      <c r="D102" s="16"/>
      <c r="E102" s="16"/>
    </row>
    <row r="103">
      <c r="C103" s="16"/>
      <c r="D103" s="16"/>
      <c r="E103" s="16"/>
    </row>
    <row r="104">
      <c r="C104" s="16"/>
      <c r="D104" s="16"/>
      <c r="E104" s="16"/>
    </row>
    <row r="105">
      <c r="C105" s="16"/>
      <c r="D105" s="16"/>
      <c r="E105" s="16"/>
    </row>
    <row r="106">
      <c r="C106" s="16"/>
      <c r="D106" s="16"/>
      <c r="E106" s="16"/>
    </row>
    <row r="107">
      <c r="C107" s="16"/>
      <c r="D107" s="16"/>
      <c r="E107" s="16"/>
    </row>
    <row r="108">
      <c r="C108" s="16"/>
      <c r="D108" s="16"/>
      <c r="E108" s="16"/>
    </row>
    <row r="109">
      <c r="C109" s="16"/>
      <c r="D109" s="16"/>
      <c r="E109" s="16"/>
    </row>
    <row r="110">
      <c r="C110" s="16"/>
      <c r="D110" s="16"/>
      <c r="E110" s="16"/>
    </row>
    <row r="111">
      <c r="C111" s="16"/>
      <c r="D111" s="16"/>
      <c r="E111" s="16"/>
    </row>
    <row r="112">
      <c r="C112" s="16"/>
      <c r="D112" s="16"/>
      <c r="E112" s="16"/>
    </row>
    <row r="113">
      <c r="C113" s="16"/>
      <c r="D113" s="16"/>
      <c r="E113" s="16"/>
    </row>
    <row r="114">
      <c r="C114" s="16"/>
      <c r="D114" s="16"/>
      <c r="E114" s="16"/>
    </row>
    <row r="115">
      <c r="C115" s="16"/>
      <c r="D115" s="16"/>
      <c r="E115" s="16"/>
    </row>
    <row r="116">
      <c r="C116" s="16"/>
      <c r="D116" s="16"/>
      <c r="E116" s="16"/>
    </row>
    <row r="117">
      <c r="C117" s="16"/>
      <c r="D117" s="16"/>
      <c r="E117" s="16"/>
    </row>
    <row r="118">
      <c r="C118" s="16"/>
      <c r="D118" s="16"/>
      <c r="E118" s="16"/>
    </row>
    <row r="119">
      <c r="C119" s="16"/>
      <c r="D119" s="16"/>
      <c r="E119" s="16"/>
    </row>
    <row r="120">
      <c r="C120" s="16"/>
      <c r="D120" s="16"/>
      <c r="E120" s="16"/>
    </row>
    <row r="121">
      <c r="C121" s="16"/>
      <c r="D121" s="16"/>
      <c r="E121" s="16"/>
    </row>
    <row r="122">
      <c r="C122" s="16"/>
      <c r="D122" s="16"/>
      <c r="E122" s="16"/>
    </row>
    <row r="123">
      <c r="C123" s="16"/>
      <c r="D123" s="16"/>
      <c r="E123" s="16"/>
    </row>
    <row r="124">
      <c r="C124" s="16"/>
      <c r="D124" s="16"/>
      <c r="E124" s="16"/>
    </row>
    <row r="125">
      <c r="C125" s="16"/>
      <c r="D125" s="16"/>
      <c r="E125" s="16"/>
    </row>
    <row r="126">
      <c r="C126" s="16"/>
      <c r="D126" s="16"/>
      <c r="E126" s="16"/>
    </row>
    <row r="127">
      <c r="C127" s="16"/>
      <c r="D127" s="16"/>
      <c r="E127" s="16"/>
    </row>
    <row r="128">
      <c r="C128" s="16"/>
      <c r="D128" s="16"/>
      <c r="E128" s="16"/>
    </row>
    <row r="129">
      <c r="C129" s="16"/>
      <c r="D129" s="16"/>
      <c r="E129" s="16"/>
    </row>
    <row r="130">
      <c r="C130" s="16"/>
      <c r="D130" s="16"/>
      <c r="E130" s="16"/>
    </row>
    <row r="131">
      <c r="C131" s="16"/>
      <c r="D131" s="16"/>
      <c r="E131" s="16"/>
    </row>
    <row r="132">
      <c r="C132" s="16"/>
      <c r="D132" s="16"/>
      <c r="E132" s="16"/>
    </row>
    <row r="133">
      <c r="C133" s="16"/>
      <c r="D133" s="16"/>
      <c r="E133" s="16"/>
    </row>
    <row r="134">
      <c r="C134" s="16"/>
      <c r="D134" s="16"/>
      <c r="E134" s="16"/>
    </row>
    <row r="135">
      <c r="C135" s="16"/>
      <c r="D135" s="16"/>
      <c r="E135" s="16"/>
    </row>
    <row r="136">
      <c r="C136" s="16"/>
      <c r="D136" s="16"/>
      <c r="E136" s="16"/>
    </row>
    <row r="137">
      <c r="C137" s="16"/>
      <c r="D137" s="16"/>
      <c r="E137" s="16"/>
    </row>
    <row r="138">
      <c r="C138" s="16"/>
      <c r="D138" s="16"/>
      <c r="E138" s="16"/>
    </row>
    <row r="139">
      <c r="C139" s="16"/>
      <c r="D139" s="16"/>
      <c r="E139" s="16"/>
    </row>
    <row r="140">
      <c r="C140" s="16"/>
      <c r="D140" s="16"/>
      <c r="E140" s="16"/>
    </row>
    <row r="141">
      <c r="C141" s="16"/>
      <c r="D141" s="16"/>
      <c r="E141" s="16"/>
    </row>
    <row r="142">
      <c r="C142" s="16"/>
      <c r="D142" s="16"/>
      <c r="E142" s="16"/>
    </row>
    <row r="143">
      <c r="C143" s="16"/>
      <c r="D143" s="16"/>
      <c r="E143" s="16"/>
    </row>
    <row r="144">
      <c r="C144" s="16"/>
      <c r="D144" s="16"/>
      <c r="E144" s="16"/>
    </row>
    <row r="145">
      <c r="C145" s="16"/>
      <c r="D145" s="16"/>
      <c r="E145" s="16"/>
    </row>
    <row r="146">
      <c r="C146" s="16"/>
      <c r="D146" s="16"/>
      <c r="E146" s="16"/>
    </row>
    <row r="147">
      <c r="C147" s="16"/>
      <c r="D147" s="16"/>
      <c r="E147" s="16"/>
    </row>
    <row r="148">
      <c r="C148" s="16"/>
      <c r="D148" s="16"/>
      <c r="E148" s="16"/>
    </row>
    <row r="149">
      <c r="C149" s="16"/>
      <c r="D149" s="16"/>
      <c r="E149" s="16"/>
    </row>
    <row r="150">
      <c r="C150" s="16"/>
      <c r="D150" s="16"/>
      <c r="E150" s="16"/>
    </row>
    <row r="151">
      <c r="C151" s="16"/>
      <c r="D151" s="16"/>
      <c r="E151" s="16"/>
    </row>
    <row r="152">
      <c r="C152" s="16"/>
      <c r="D152" s="16"/>
      <c r="E152" s="16"/>
    </row>
    <row r="153">
      <c r="C153" s="16"/>
      <c r="D153" s="16"/>
      <c r="E153" s="16"/>
    </row>
    <row r="154">
      <c r="C154" s="16"/>
      <c r="D154" s="16"/>
      <c r="E154" s="16"/>
    </row>
    <row r="155">
      <c r="C155" s="16"/>
      <c r="D155" s="16"/>
      <c r="E155" s="16"/>
    </row>
    <row r="156">
      <c r="C156" s="16"/>
      <c r="D156" s="16"/>
      <c r="E156" s="16"/>
    </row>
    <row r="157">
      <c r="C157" s="16"/>
      <c r="D157" s="16"/>
      <c r="E157" s="16"/>
    </row>
    <row r="158">
      <c r="C158" s="16"/>
      <c r="D158" s="16"/>
      <c r="E158" s="16"/>
    </row>
    <row r="159">
      <c r="C159" s="16"/>
      <c r="D159" s="16"/>
      <c r="E159" s="16"/>
    </row>
    <row r="160">
      <c r="C160" s="16"/>
      <c r="D160" s="16"/>
      <c r="E160" s="16"/>
    </row>
    <row r="161">
      <c r="C161" s="16"/>
      <c r="D161" s="16"/>
      <c r="E161" s="16"/>
    </row>
    <row r="162">
      <c r="C162" s="16"/>
      <c r="D162" s="16"/>
      <c r="E162" s="16"/>
    </row>
    <row r="163">
      <c r="C163" s="16"/>
      <c r="D163" s="16"/>
      <c r="E163" s="16"/>
    </row>
    <row r="164">
      <c r="C164" s="16"/>
      <c r="D164" s="16"/>
      <c r="E164" s="16"/>
    </row>
    <row r="165">
      <c r="C165" s="16"/>
      <c r="D165" s="16"/>
      <c r="E165" s="16"/>
    </row>
    <row r="166">
      <c r="C166" s="16"/>
      <c r="D166" s="16"/>
      <c r="E166" s="16"/>
    </row>
    <row r="167">
      <c r="C167" s="16"/>
      <c r="D167" s="16"/>
      <c r="E167" s="16"/>
    </row>
    <row r="168">
      <c r="C168" s="16"/>
      <c r="D168" s="16"/>
      <c r="E168" s="16"/>
    </row>
    <row r="169">
      <c r="C169" s="16"/>
      <c r="D169" s="16"/>
      <c r="E169" s="16"/>
    </row>
    <row r="170">
      <c r="C170" s="16"/>
      <c r="D170" s="16"/>
      <c r="E170" s="16"/>
    </row>
    <row r="171">
      <c r="C171" s="16"/>
      <c r="D171" s="16"/>
      <c r="E171" s="16"/>
    </row>
    <row r="172">
      <c r="C172" s="16"/>
      <c r="D172" s="16"/>
      <c r="E172" s="16"/>
    </row>
    <row r="173">
      <c r="C173" s="16"/>
      <c r="D173" s="16"/>
      <c r="E173" s="16"/>
    </row>
    <row r="174">
      <c r="C174" s="16"/>
      <c r="D174" s="16"/>
      <c r="E174" s="16"/>
    </row>
    <row r="175">
      <c r="C175" s="16"/>
      <c r="D175" s="16"/>
      <c r="E175" s="16"/>
    </row>
    <row r="176">
      <c r="C176" s="16"/>
      <c r="D176" s="16"/>
      <c r="E176" s="16"/>
    </row>
    <row r="177">
      <c r="C177" s="16"/>
      <c r="D177" s="16"/>
      <c r="E177" s="16"/>
    </row>
    <row r="178">
      <c r="C178" s="16"/>
      <c r="D178" s="16"/>
      <c r="E178" s="16"/>
    </row>
    <row r="179">
      <c r="C179" s="16"/>
      <c r="D179" s="16"/>
      <c r="E179" s="16"/>
    </row>
    <row r="180">
      <c r="C180" s="16"/>
      <c r="D180" s="16"/>
      <c r="E180" s="16"/>
    </row>
    <row r="181">
      <c r="C181" s="16"/>
      <c r="D181" s="16"/>
      <c r="E181" s="16"/>
    </row>
    <row r="182">
      <c r="C182" s="16"/>
      <c r="D182" s="16"/>
      <c r="E182" s="16"/>
    </row>
    <row r="183">
      <c r="C183" s="16"/>
      <c r="D183" s="16"/>
      <c r="E183" s="16"/>
    </row>
    <row r="184">
      <c r="C184" s="16"/>
      <c r="D184" s="16"/>
      <c r="E184" s="16"/>
    </row>
    <row r="185">
      <c r="C185" s="16"/>
      <c r="D185" s="16"/>
      <c r="E185" s="16"/>
    </row>
    <row r="186">
      <c r="C186" s="16"/>
      <c r="D186" s="16"/>
      <c r="E186" s="16"/>
    </row>
    <row r="187">
      <c r="C187" s="16"/>
      <c r="D187" s="16"/>
      <c r="E187" s="16"/>
    </row>
    <row r="188">
      <c r="C188" s="16"/>
      <c r="D188" s="16"/>
      <c r="E188" s="16"/>
    </row>
    <row r="189">
      <c r="C189" s="16"/>
      <c r="D189" s="16"/>
      <c r="E189" s="16"/>
    </row>
    <row r="190">
      <c r="C190" s="16"/>
      <c r="D190" s="16"/>
      <c r="E190" s="16"/>
    </row>
    <row r="191">
      <c r="C191" s="16"/>
      <c r="D191" s="16"/>
      <c r="E191" s="16"/>
    </row>
    <row r="192">
      <c r="C192" s="16"/>
      <c r="D192" s="16"/>
      <c r="E192" s="16"/>
    </row>
    <row r="193">
      <c r="C193" s="16"/>
      <c r="D193" s="16"/>
      <c r="E193" s="16"/>
    </row>
    <row r="194">
      <c r="C194" s="16"/>
      <c r="D194" s="16"/>
      <c r="E194" s="16"/>
    </row>
    <row r="195">
      <c r="C195" s="16"/>
      <c r="D195" s="16"/>
      <c r="E195" s="16"/>
    </row>
    <row r="196">
      <c r="C196" s="16"/>
      <c r="D196" s="16"/>
      <c r="E196" s="16"/>
    </row>
    <row r="197">
      <c r="C197" s="16"/>
      <c r="D197" s="16"/>
      <c r="E197" s="16"/>
    </row>
    <row r="198">
      <c r="C198" s="16"/>
      <c r="D198" s="16"/>
      <c r="E198" s="16"/>
    </row>
    <row r="199">
      <c r="C199" s="16"/>
      <c r="D199" s="16"/>
      <c r="E199" s="16"/>
    </row>
    <row r="200">
      <c r="C200" s="16"/>
      <c r="D200" s="16"/>
      <c r="E200" s="16"/>
    </row>
    <row r="201">
      <c r="C201" s="16"/>
      <c r="D201" s="16"/>
      <c r="E201" s="16"/>
    </row>
    <row r="202">
      <c r="C202" s="16"/>
      <c r="D202" s="16"/>
      <c r="E202" s="16"/>
    </row>
    <row r="203">
      <c r="C203" s="16"/>
      <c r="D203" s="16"/>
      <c r="E203" s="16"/>
    </row>
    <row r="204">
      <c r="C204" s="16"/>
      <c r="D204" s="16"/>
      <c r="E204" s="16"/>
    </row>
    <row r="205">
      <c r="C205" s="16"/>
      <c r="D205" s="16"/>
      <c r="E205" s="16"/>
    </row>
    <row r="206">
      <c r="C206" s="16"/>
      <c r="D206" s="16"/>
      <c r="E206" s="16"/>
    </row>
    <row r="207">
      <c r="C207" s="16"/>
      <c r="D207" s="16"/>
      <c r="E207" s="16"/>
    </row>
    <row r="208">
      <c r="C208" s="16"/>
      <c r="D208" s="16"/>
      <c r="E208" s="16"/>
    </row>
    <row r="209">
      <c r="C209" s="16"/>
      <c r="D209" s="16"/>
      <c r="E209" s="16"/>
    </row>
    <row r="210">
      <c r="C210" s="16"/>
      <c r="D210" s="16"/>
      <c r="E210" s="16"/>
    </row>
    <row r="211">
      <c r="C211" s="16"/>
      <c r="D211" s="16"/>
      <c r="E211" s="16"/>
    </row>
    <row r="212">
      <c r="C212" s="16"/>
      <c r="D212" s="16"/>
      <c r="E212" s="16"/>
    </row>
    <row r="213">
      <c r="C213" s="16"/>
      <c r="D213" s="16"/>
      <c r="E213" s="16"/>
    </row>
    <row r="214">
      <c r="C214" s="16"/>
      <c r="D214" s="16"/>
      <c r="E214" s="16"/>
    </row>
    <row r="215">
      <c r="C215" s="16"/>
      <c r="D215" s="16"/>
      <c r="E215" s="16"/>
    </row>
    <row r="216">
      <c r="C216" s="16"/>
      <c r="D216" s="16"/>
      <c r="E216" s="16"/>
    </row>
    <row r="217">
      <c r="C217" s="16"/>
      <c r="D217" s="16"/>
      <c r="E217" s="16"/>
    </row>
    <row r="218">
      <c r="C218" s="16"/>
      <c r="D218" s="16"/>
      <c r="E218" s="16"/>
    </row>
    <row r="219">
      <c r="C219" s="16"/>
      <c r="D219" s="16"/>
      <c r="E219" s="16"/>
    </row>
    <row r="220">
      <c r="C220" s="16"/>
      <c r="D220" s="16"/>
      <c r="E220" s="16"/>
    </row>
    <row r="221">
      <c r="C221" s="16"/>
      <c r="D221" s="16"/>
      <c r="E221" s="16"/>
    </row>
    <row r="222">
      <c r="C222" s="16"/>
      <c r="D222" s="16"/>
      <c r="E222" s="16"/>
    </row>
    <row r="223">
      <c r="C223" s="16"/>
      <c r="D223" s="16"/>
      <c r="E223" s="16"/>
    </row>
    <row r="224">
      <c r="C224" s="16"/>
      <c r="D224" s="16"/>
      <c r="E224" s="16"/>
    </row>
    <row r="225">
      <c r="C225" s="16"/>
      <c r="D225" s="16"/>
      <c r="E225" s="16"/>
    </row>
    <row r="226">
      <c r="C226" s="16"/>
      <c r="D226" s="16"/>
      <c r="E226" s="16"/>
    </row>
    <row r="227">
      <c r="C227" s="16"/>
      <c r="D227" s="16"/>
      <c r="E227" s="16"/>
    </row>
    <row r="228">
      <c r="C228" s="16"/>
      <c r="D228" s="16"/>
      <c r="E228" s="16"/>
    </row>
    <row r="229">
      <c r="C229" s="16"/>
      <c r="D229" s="16"/>
      <c r="E229" s="16"/>
    </row>
    <row r="230">
      <c r="C230" s="16"/>
      <c r="D230" s="16"/>
      <c r="E230" s="16"/>
    </row>
    <row r="231">
      <c r="C231" s="16"/>
      <c r="D231" s="16"/>
      <c r="E231" s="16"/>
    </row>
    <row r="232">
      <c r="C232" s="16"/>
      <c r="D232" s="16"/>
      <c r="E232" s="16"/>
    </row>
    <row r="233">
      <c r="C233" s="16"/>
      <c r="D233" s="16"/>
      <c r="E233" s="16"/>
    </row>
    <row r="234">
      <c r="C234" s="16"/>
      <c r="D234" s="16"/>
      <c r="E234" s="16"/>
    </row>
    <row r="235">
      <c r="C235" s="16"/>
      <c r="D235" s="16"/>
      <c r="E235" s="16"/>
    </row>
    <row r="236">
      <c r="C236" s="16"/>
      <c r="D236" s="16"/>
      <c r="E236" s="16"/>
    </row>
    <row r="237">
      <c r="C237" s="16"/>
      <c r="D237" s="16"/>
      <c r="E237" s="16"/>
    </row>
    <row r="238">
      <c r="C238" s="16"/>
      <c r="D238" s="16"/>
      <c r="E238" s="16"/>
    </row>
    <row r="239">
      <c r="C239" s="16"/>
      <c r="D239" s="16"/>
      <c r="E239" s="16"/>
    </row>
    <row r="240">
      <c r="C240" s="16"/>
      <c r="D240" s="16"/>
      <c r="E240" s="16"/>
    </row>
    <row r="241">
      <c r="C241" s="16"/>
      <c r="D241" s="16"/>
      <c r="E241" s="16"/>
    </row>
    <row r="242">
      <c r="C242" s="16"/>
      <c r="D242" s="16"/>
      <c r="E242" s="16"/>
    </row>
    <row r="243">
      <c r="C243" s="16"/>
      <c r="D243" s="16"/>
      <c r="E243" s="16"/>
    </row>
    <row r="244">
      <c r="C244" s="16"/>
      <c r="D244" s="16"/>
      <c r="E244" s="16"/>
    </row>
    <row r="245">
      <c r="C245" s="16"/>
      <c r="D245" s="16"/>
      <c r="E245" s="16"/>
    </row>
    <row r="246">
      <c r="C246" s="16"/>
      <c r="D246" s="16"/>
      <c r="E246" s="16"/>
    </row>
    <row r="247">
      <c r="C247" s="16"/>
      <c r="D247" s="16"/>
      <c r="E247" s="16"/>
    </row>
    <row r="248">
      <c r="C248" s="16"/>
      <c r="D248" s="16"/>
      <c r="E248" s="16"/>
    </row>
    <row r="249">
      <c r="C249" s="16"/>
      <c r="D249" s="16"/>
      <c r="E249" s="16"/>
    </row>
    <row r="250">
      <c r="C250" s="16"/>
      <c r="D250" s="16"/>
      <c r="E250" s="16"/>
    </row>
    <row r="251">
      <c r="C251" s="16"/>
      <c r="D251" s="16"/>
      <c r="E251" s="16"/>
    </row>
    <row r="252">
      <c r="C252" s="16"/>
      <c r="D252" s="16"/>
      <c r="E252" s="16"/>
    </row>
    <row r="253">
      <c r="C253" s="16"/>
      <c r="D253" s="16"/>
      <c r="E253" s="16"/>
    </row>
    <row r="254">
      <c r="C254" s="16"/>
      <c r="D254" s="16"/>
      <c r="E254" s="16"/>
    </row>
    <row r="255">
      <c r="C255" s="16"/>
      <c r="D255" s="16"/>
      <c r="E255" s="16"/>
    </row>
    <row r="256">
      <c r="C256" s="16"/>
      <c r="D256" s="16"/>
      <c r="E256" s="16"/>
    </row>
    <row r="257">
      <c r="C257" s="16"/>
      <c r="D257" s="16"/>
      <c r="E257" s="16"/>
    </row>
    <row r="258">
      <c r="C258" s="16"/>
      <c r="D258" s="16"/>
      <c r="E258" s="16"/>
    </row>
    <row r="259">
      <c r="C259" s="16"/>
      <c r="D259" s="16"/>
      <c r="E259" s="16"/>
    </row>
    <row r="260">
      <c r="C260" s="16"/>
      <c r="D260" s="16"/>
      <c r="E260" s="16"/>
    </row>
    <row r="261">
      <c r="C261" s="16"/>
      <c r="D261" s="16"/>
      <c r="E261" s="16"/>
    </row>
    <row r="262">
      <c r="C262" s="16"/>
      <c r="D262" s="16"/>
      <c r="E262" s="16"/>
    </row>
    <row r="263">
      <c r="C263" s="16"/>
      <c r="D263" s="16"/>
      <c r="E263" s="16"/>
    </row>
    <row r="264">
      <c r="C264" s="16"/>
      <c r="D264" s="16"/>
      <c r="E264" s="16"/>
    </row>
    <row r="265">
      <c r="C265" s="16"/>
      <c r="D265" s="16"/>
      <c r="E265" s="16"/>
    </row>
    <row r="266">
      <c r="C266" s="16"/>
      <c r="D266" s="16"/>
      <c r="E266" s="16"/>
    </row>
    <row r="267">
      <c r="C267" s="16"/>
      <c r="D267" s="16"/>
      <c r="E267" s="16"/>
    </row>
    <row r="268">
      <c r="C268" s="16"/>
      <c r="D268" s="16"/>
      <c r="E268" s="16"/>
    </row>
    <row r="269">
      <c r="C269" s="16"/>
      <c r="D269" s="16"/>
      <c r="E269" s="16"/>
    </row>
    <row r="270">
      <c r="C270" s="16"/>
      <c r="D270" s="16"/>
      <c r="E270" s="16"/>
    </row>
    <row r="271">
      <c r="C271" s="16"/>
      <c r="D271" s="16"/>
      <c r="E271" s="16"/>
    </row>
    <row r="272">
      <c r="C272" s="16"/>
      <c r="D272" s="16"/>
      <c r="E272" s="16"/>
    </row>
    <row r="273">
      <c r="C273" s="16"/>
      <c r="D273" s="16"/>
      <c r="E273" s="16"/>
    </row>
    <row r="274">
      <c r="C274" s="16"/>
      <c r="D274" s="16"/>
      <c r="E274" s="16"/>
    </row>
    <row r="275">
      <c r="C275" s="16"/>
      <c r="D275" s="16"/>
      <c r="E275" s="16"/>
    </row>
    <row r="276">
      <c r="C276" s="16"/>
      <c r="D276" s="16"/>
      <c r="E276" s="16"/>
    </row>
    <row r="277">
      <c r="C277" s="16"/>
      <c r="D277" s="16"/>
      <c r="E277" s="16"/>
    </row>
    <row r="278">
      <c r="C278" s="16"/>
      <c r="D278" s="16"/>
      <c r="E278" s="16"/>
    </row>
    <row r="279">
      <c r="C279" s="16"/>
      <c r="D279" s="16"/>
      <c r="E279" s="16"/>
    </row>
    <row r="280">
      <c r="C280" s="16"/>
      <c r="D280" s="16"/>
      <c r="E280" s="16"/>
    </row>
    <row r="281">
      <c r="C281" s="16"/>
      <c r="D281" s="16"/>
      <c r="E281" s="16"/>
    </row>
    <row r="282">
      <c r="C282" s="16"/>
      <c r="D282" s="16"/>
      <c r="E282" s="16"/>
    </row>
    <row r="283">
      <c r="C283" s="16"/>
      <c r="D283" s="16"/>
      <c r="E283" s="16"/>
    </row>
    <row r="284">
      <c r="C284" s="16"/>
      <c r="D284" s="16"/>
      <c r="E284" s="16"/>
    </row>
    <row r="285">
      <c r="C285" s="16"/>
      <c r="D285" s="16"/>
      <c r="E285" s="16"/>
    </row>
    <row r="286">
      <c r="C286" s="16"/>
      <c r="D286" s="16"/>
      <c r="E286" s="16"/>
    </row>
    <row r="287">
      <c r="C287" s="16"/>
      <c r="D287" s="16"/>
      <c r="E287" s="16"/>
    </row>
    <row r="288">
      <c r="C288" s="16"/>
      <c r="D288" s="16"/>
      <c r="E288" s="16"/>
    </row>
    <row r="289">
      <c r="C289" s="16"/>
      <c r="D289" s="16"/>
      <c r="E289" s="16"/>
    </row>
    <row r="290">
      <c r="C290" s="16"/>
      <c r="D290" s="16"/>
      <c r="E290" s="16"/>
    </row>
    <row r="291">
      <c r="C291" s="16"/>
      <c r="D291" s="16"/>
      <c r="E291" s="16"/>
    </row>
    <row r="292">
      <c r="C292" s="16"/>
      <c r="D292" s="16"/>
      <c r="E292" s="16"/>
    </row>
    <row r="293">
      <c r="C293" s="16"/>
      <c r="D293" s="16"/>
      <c r="E293" s="16"/>
    </row>
    <row r="294">
      <c r="C294" s="16"/>
      <c r="D294" s="16"/>
      <c r="E294" s="16"/>
    </row>
    <row r="295">
      <c r="C295" s="16"/>
      <c r="D295" s="16"/>
      <c r="E295" s="16"/>
    </row>
    <row r="296">
      <c r="C296" s="16"/>
      <c r="D296" s="16"/>
      <c r="E296" s="16"/>
    </row>
    <row r="297">
      <c r="C297" s="16"/>
      <c r="D297" s="16"/>
      <c r="E297" s="16"/>
    </row>
    <row r="298">
      <c r="C298" s="16"/>
      <c r="D298" s="16"/>
      <c r="E298" s="16"/>
    </row>
    <row r="299">
      <c r="C299" s="16"/>
      <c r="D299" s="16"/>
      <c r="E299" s="16"/>
    </row>
    <row r="300">
      <c r="C300" s="16"/>
      <c r="D300" s="16"/>
      <c r="E300" s="16"/>
    </row>
    <row r="301">
      <c r="C301" s="16"/>
      <c r="D301" s="16"/>
      <c r="E301" s="16"/>
    </row>
    <row r="302">
      <c r="C302" s="16"/>
      <c r="D302" s="16"/>
      <c r="E302" s="16"/>
    </row>
    <row r="303">
      <c r="C303" s="16"/>
      <c r="D303" s="16"/>
      <c r="E303" s="16"/>
    </row>
    <row r="304">
      <c r="C304" s="16"/>
      <c r="D304" s="16"/>
      <c r="E304" s="16"/>
    </row>
    <row r="305">
      <c r="C305" s="16"/>
      <c r="D305" s="16"/>
      <c r="E305" s="16"/>
    </row>
    <row r="306">
      <c r="C306" s="16"/>
      <c r="D306" s="16"/>
      <c r="E306" s="16"/>
    </row>
    <row r="307">
      <c r="C307" s="16"/>
      <c r="D307" s="16"/>
      <c r="E307" s="16"/>
    </row>
    <row r="308">
      <c r="C308" s="16"/>
      <c r="D308" s="16"/>
      <c r="E308" s="16"/>
    </row>
    <row r="309">
      <c r="C309" s="16"/>
      <c r="D309" s="16"/>
      <c r="E309" s="16"/>
    </row>
    <row r="310">
      <c r="C310" s="16"/>
      <c r="D310" s="16"/>
      <c r="E310" s="16"/>
    </row>
    <row r="311">
      <c r="C311" s="16"/>
      <c r="D311" s="16"/>
      <c r="E311" s="16"/>
    </row>
    <row r="312">
      <c r="C312" s="16"/>
      <c r="D312" s="16"/>
      <c r="E312" s="16"/>
    </row>
    <row r="313">
      <c r="C313" s="16"/>
      <c r="D313" s="16"/>
      <c r="E313" s="16"/>
    </row>
    <row r="314">
      <c r="C314" s="16"/>
      <c r="D314" s="16"/>
      <c r="E314" s="16"/>
    </row>
    <row r="315">
      <c r="C315" s="16"/>
      <c r="D315" s="16"/>
      <c r="E315" s="16"/>
    </row>
    <row r="316">
      <c r="C316" s="16"/>
      <c r="D316" s="16"/>
      <c r="E316" s="16"/>
    </row>
    <row r="317">
      <c r="C317" s="16"/>
      <c r="D317" s="16"/>
      <c r="E317" s="16"/>
    </row>
    <row r="318">
      <c r="C318" s="16"/>
      <c r="D318" s="16"/>
      <c r="E318" s="16"/>
    </row>
    <row r="319">
      <c r="C319" s="16"/>
      <c r="D319" s="16"/>
      <c r="E319" s="16"/>
    </row>
    <row r="320">
      <c r="C320" s="16"/>
      <c r="D320" s="16"/>
      <c r="E320" s="16"/>
    </row>
    <row r="321">
      <c r="C321" s="16"/>
      <c r="D321" s="16"/>
      <c r="E321" s="16"/>
    </row>
    <row r="322">
      <c r="C322" s="16"/>
      <c r="D322" s="16"/>
      <c r="E322" s="16"/>
    </row>
    <row r="323">
      <c r="C323" s="16"/>
      <c r="D323" s="16"/>
      <c r="E323" s="16"/>
    </row>
    <row r="324">
      <c r="C324" s="16"/>
      <c r="D324" s="16"/>
      <c r="E324" s="16"/>
    </row>
    <row r="325">
      <c r="C325" s="16"/>
      <c r="D325" s="16"/>
      <c r="E325" s="16"/>
    </row>
    <row r="326">
      <c r="C326" s="16"/>
      <c r="D326" s="16"/>
      <c r="E326" s="16"/>
    </row>
    <row r="327">
      <c r="C327" s="16"/>
      <c r="D327" s="16"/>
      <c r="E327" s="16"/>
    </row>
    <row r="328">
      <c r="C328" s="16"/>
      <c r="D328" s="16"/>
      <c r="E328" s="16"/>
    </row>
    <row r="329">
      <c r="C329" s="16"/>
      <c r="D329" s="16"/>
      <c r="E329" s="16"/>
    </row>
    <row r="330">
      <c r="C330" s="16"/>
      <c r="D330" s="16"/>
      <c r="E330" s="16"/>
    </row>
    <row r="331">
      <c r="C331" s="16"/>
      <c r="D331" s="16"/>
      <c r="E331" s="16"/>
    </row>
    <row r="332">
      <c r="C332" s="16"/>
      <c r="D332" s="16"/>
      <c r="E332" s="16"/>
    </row>
    <row r="333">
      <c r="C333" s="16"/>
      <c r="D333" s="16"/>
      <c r="E333" s="16"/>
    </row>
    <row r="334">
      <c r="C334" s="16"/>
      <c r="D334" s="16"/>
      <c r="E334" s="16"/>
    </row>
    <row r="335">
      <c r="C335" s="16"/>
      <c r="D335" s="16"/>
      <c r="E335" s="16"/>
    </row>
    <row r="336">
      <c r="C336" s="16"/>
      <c r="D336" s="16"/>
      <c r="E336" s="16"/>
    </row>
    <row r="337">
      <c r="C337" s="16"/>
      <c r="D337" s="16"/>
      <c r="E337" s="16"/>
    </row>
    <row r="338">
      <c r="C338" s="16"/>
      <c r="D338" s="16"/>
      <c r="E338" s="16"/>
    </row>
    <row r="339">
      <c r="C339" s="16"/>
      <c r="D339" s="16"/>
      <c r="E339" s="16"/>
    </row>
    <row r="340">
      <c r="C340" s="16"/>
      <c r="D340" s="16"/>
      <c r="E340" s="16"/>
    </row>
    <row r="341">
      <c r="C341" s="16"/>
      <c r="D341" s="16"/>
      <c r="E341" s="16"/>
    </row>
    <row r="342">
      <c r="C342" s="16"/>
      <c r="D342" s="16"/>
      <c r="E342" s="16"/>
    </row>
    <row r="343">
      <c r="C343" s="16"/>
      <c r="D343" s="16"/>
      <c r="E343" s="16"/>
    </row>
    <row r="344">
      <c r="C344" s="16"/>
      <c r="D344" s="16"/>
      <c r="E344" s="16"/>
    </row>
    <row r="345">
      <c r="C345" s="16"/>
      <c r="D345" s="16"/>
      <c r="E345" s="16"/>
    </row>
    <row r="346">
      <c r="C346" s="16"/>
      <c r="D346" s="16"/>
      <c r="E346" s="16"/>
    </row>
    <row r="347">
      <c r="C347" s="16"/>
      <c r="D347" s="16"/>
      <c r="E347" s="16"/>
    </row>
    <row r="348">
      <c r="C348" s="16"/>
      <c r="D348" s="16"/>
      <c r="E348" s="16"/>
    </row>
    <row r="349">
      <c r="C349" s="16"/>
      <c r="D349" s="16"/>
      <c r="E349" s="16"/>
    </row>
    <row r="350">
      <c r="C350" s="16"/>
      <c r="D350" s="16"/>
      <c r="E350" s="16"/>
    </row>
    <row r="351">
      <c r="C351" s="16"/>
      <c r="D351" s="16"/>
      <c r="E351" s="16"/>
    </row>
    <row r="352">
      <c r="C352" s="16"/>
      <c r="D352" s="16"/>
      <c r="E352" s="16"/>
    </row>
    <row r="353">
      <c r="C353" s="16"/>
      <c r="D353" s="16"/>
      <c r="E353" s="16"/>
    </row>
    <row r="354">
      <c r="C354" s="16"/>
      <c r="D354" s="16"/>
      <c r="E354" s="16"/>
    </row>
    <row r="355">
      <c r="C355" s="16"/>
      <c r="D355" s="16"/>
      <c r="E355" s="16"/>
    </row>
    <row r="356">
      <c r="C356" s="16"/>
      <c r="D356" s="16"/>
      <c r="E356" s="16"/>
    </row>
    <row r="357">
      <c r="C357" s="16"/>
      <c r="D357" s="16"/>
      <c r="E357" s="16"/>
    </row>
    <row r="358">
      <c r="C358" s="16"/>
      <c r="D358" s="16"/>
      <c r="E358" s="16"/>
    </row>
    <row r="359">
      <c r="C359" s="16"/>
      <c r="D359" s="16"/>
      <c r="E359" s="16"/>
    </row>
    <row r="360">
      <c r="C360" s="16"/>
      <c r="D360" s="16"/>
      <c r="E360" s="16"/>
    </row>
    <row r="361">
      <c r="C361" s="16"/>
      <c r="D361" s="16"/>
      <c r="E361" s="16"/>
    </row>
    <row r="362">
      <c r="C362" s="16"/>
      <c r="D362" s="16"/>
      <c r="E362" s="16"/>
    </row>
    <row r="363">
      <c r="C363" s="16"/>
      <c r="D363" s="16"/>
      <c r="E363" s="16"/>
    </row>
    <row r="364">
      <c r="C364" s="16"/>
      <c r="D364" s="16"/>
      <c r="E364" s="16"/>
    </row>
    <row r="365">
      <c r="C365" s="16"/>
      <c r="D365" s="16"/>
      <c r="E365" s="16"/>
    </row>
    <row r="366">
      <c r="C366" s="16"/>
      <c r="D366" s="16"/>
      <c r="E366" s="16"/>
    </row>
    <row r="367">
      <c r="C367" s="16"/>
      <c r="D367" s="16"/>
      <c r="E367" s="16"/>
    </row>
    <row r="368">
      <c r="C368" s="16"/>
      <c r="D368" s="16"/>
      <c r="E368" s="16"/>
    </row>
    <row r="369">
      <c r="C369" s="16"/>
      <c r="D369" s="16"/>
      <c r="E369" s="16"/>
    </row>
    <row r="370">
      <c r="C370" s="16"/>
      <c r="D370" s="16"/>
      <c r="E370" s="16"/>
    </row>
    <row r="371">
      <c r="C371" s="16"/>
      <c r="D371" s="16"/>
      <c r="E371" s="16"/>
    </row>
    <row r="372">
      <c r="C372" s="16"/>
      <c r="D372" s="16"/>
      <c r="E372" s="16"/>
    </row>
    <row r="373">
      <c r="C373" s="16"/>
      <c r="D373" s="16"/>
      <c r="E373" s="16"/>
    </row>
    <row r="374">
      <c r="C374" s="16"/>
      <c r="D374" s="16"/>
      <c r="E374" s="16"/>
    </row>
    <row r="375">
      <c r="C375" s="16"/>
      <c r="D375" s="16"/>
      <c r="E375" s="16"/>
    </row>
    <row r="376">
      <c r="C376" s="16"/>
      <c r="D376" s="16"/>
      <c r="E376" s="16"/>
    </row>
    <row r="377">
      <c r="C377" s="16"/>
      <c r="D377" s="16"/>
      <c r="E377" s="16"/>
    </row>
    <row r="378">
      <c r="C378" s="16"/>
      <c r="D378" s="16"/>
      <c r="E378" s="16"/>
    </row>
    <row r="379">
      <c r="C379" s="16"/>
      <c r="D379" s="16"/>
      <c r="E379" s="16"/>
    </row>
    <row r="380">
      <c r="C380" s="16"/>
      <c r="D380" s="16"/>
      <c r="E380" s="16"/>
    </row>
    <row r="381">
      <c r="C381" s="16"/>
      <c r="D381" s="16"/>
      <c r="E381" s="16"/>
    </row>
    <row r="382">
      <c r="C382" s="16"/>
      <c r="D382" s="16"/>
      <c r="E382" s="16"/>
    </row>
    <row r="383">
      <c r="C383" s="16"/>
      <c r="D383" s="16"/>
      <c r="E383" s="16"/>
    </row>
    <row r="384">
      <c r="C384" s="16"/>
      <c r="D384" s="16"/>
      <c r="E384" s="16"/>
    </row>
    <row r="385">
      <c r="C385" s="16"/>
      <c r="D385" s="16"/>
      <c r="E385" s="16"/>
    </row>
    <row r="386">
      <c r="C386" s="16"/>
      <c r="D386" s="16"/>
      <c r="E386" s="16"/>
    </row>
    <row r="387">
      <c r="C387" s="16"/>
      <c r="D387" s="16"/>
      <c r="E387" s="16"/>
    </row>
    <row r="388">
      <c r="C388" s="16"/>
      <c r="D388" s="16"/>
      <c r="E388" s="16"/>
    </row>
    <row r="389">
      <c r="C389" s="16"/>
      <c r="D389" s="16"/>
      <c r="E389" s="16"/>
    </row>
    <row r="390">
      <c r="C390" s="16"/>
      <c r="D390" s="16"/>
      <c r="E390" s="16"/>
    </row>
    <row r="391">
      <c r="C391" s="16"/>
      <c r="D391" s="16"/>
      <c r="E391" s="16"/>
    </row>
    <row r="392">
      <c r="C392" s="16"/>
      <c r="D392" s="16"/>
      <c r="E392" s="16"/>
    </row>
    <row r="393">
      <c r="C393" s="16"/>
      <c r="D393" s="16"/>
      <c r="E393" s="16"/>
    </row>
    <row r="394">
      <c r="C394" s="16"/>
      <c r="D394" s="16"/>
      <c r="E394" s="16"/>
    </row>
    <row r="395">
      <c r="C395" s="16"/>
      <c r="D395" s="16"/>
      <c r="E395" s="16"/>
    </row>
    <row r="396">
      <c r="C396" s="16"/>
      <c r="D396" s="16"/>
      <c r="E396" s="16"/>
    </row>
    <row r="397">
      <c r="C397" s="16"/>
      <c r="D397" s="16"/>
      <c r="E397" s="16"/>
    </row>
    <row r="398">
      <c r="C398" s="16"/>
      <c r="D398" s="16"/>
      <c r="E398" s="16"/>
    </row>
    <row r="399">
      <c r="C399" s="16"/>
      <c r="D399" s="16"/>
      <c r="E399" s="16"/>
    </row>
    <row r="400">
      <c r="C400" s="16"/>
      <c r="D400" s="16"/>
      <c r="E400" s="16"/>
    </row>
    <row r="401">
      <c r="C401" s="16"/>
      <c r="D401" s="16"/>
      <c r="E401" s="16"/>
    </row>
    <row r="402">
      <c r="C402" s="16"/>
      <c r="D402" s="16"/>
      <c r="E402" s="16"/>
    </row>
    <row r="403">
      <c r="C403" s="16"/>
      <c r="D403" s="16"/>
      <c r="E403" s="16"/>
    </row>
    <row r="404">
      <c r="C404" s="16"/>
      <c r="D404" s="16"/>
      <c r="E404" s="16"/>
    </row>
    <row r="405">
      <c r="C405" s="16"/>
      <c r="D405" s="16"/>
      <c r="E405" s="16"/>
    </row>
    <row r="406">
      <c r="C406" s="16"/>
      <c r="D406" s="16"/>
      <c r="E406" s="16"/>
    </row>
    <row r="407">
      <c r="C407" s="16"/>
      <c r="D407" s="16"/>
      <c r="E407" s="16"/>
    </row>
    <row r="408">
      <c r="C408" s="16"/>
      <c r="D408" s="16"/>
      <c r="E408" s="16"/>
    </row>
    <row r="409">
      <c r="C409" s="16"/>
      <c r="D409" s="16"/>
      <c r="E409" s="16"/>
    </row>
    <row r="410">
      <c r="C410" s="16"/>
      <c r="D410" s="16"/>
      <c r="E410" s="16"/>
    </row>
    <row r="411">
      <c r="C411" s="16"/>
      <c r="D411" s="16"/>
      <c r="E411" s="16"/>
    </row>
    <row r="412">
      <c r="C412" s="16"/>
      <c r="D412" s="16"/>
      <c r="E412" s="16"/>
    </row>
    <row r="413">
      <c r="C413" s="16"/>
      <c r="D413" s="16"/>
      <c r="E413" s="16"/>
    </row>
    <row r="414">
      <c r="C414" s="16"/>
      <c r="D414" s="16"/>
      <c r="E414" s="16"/>
    </row>
    <row r="415">
      <c r="C415" s="16"/>
      <c r="D415" s="16"/>
      <c r="E415" s="16"/>
    </row>
    <row r="416">
      <c r="C416" s="16"/>
      <c r="D416" s="16"/>
      <c r="E416" s="16"/>
    </row>
    <row r="417">
      <c r="C417" s="16"/>
      <c r="D417" s="16"/>
      <c r="E417" s="16"/>
    </row>
    <row r="418">
      <c r="C418" s="16"/>
      <c r="D418" s="16"/>
      <c r="E418" s="16"/>
    </row>
    <row r="419">
      <c r="C419" s="16"/>
      <c r="D419" s="16"/>
      <c r="E419" s="16"/>
    </row>
    <row r="420">
      <c r="C420" s="16"/>
      <c r="D420" s="16"/>
      <c r="E420" s="16"/>
    </row>
    <row r="421">
      <c r="C421" s="16"/>
      <c r="D421" s="16"/>
      <c r="E421" s="16"/>
    </row>
    <row r="422">
      <c r="C422" s="16"/>
      <c r="D422" s="16"/>
      <c r="E422" s="16"/>
    </row>
    <row r="423">
      <c r="C423" s="16"/>
      <c r="D423" s="16"/>
      <c r="E423" s="16"/>
    </row>
    <row r="424">
      <c r="C424" s="16"/>
      <c r="D424" s="16"/>
      <c r="E424" s="16"/>
    </row>
    <row r="425">
      <c r="C425" s="16"/>
      <c r="D425" s="16"/>
      <c r="E425" s="16"/>
    </row>
    <row r="426">
      <c r="C426" s="16"/>
      <c r="D426" s="16"/>
      <c r="E426" s="16"/>
    </row>
    <row r="427">
      <c r="C427" s="16"/>
      <c r="D427" s="16"/>
      <c r="E427" s="16"/>
    </row>
    <row r="428">
      <c r="C428" s="16"/>
      <c r="D428" s="16"/>
      <c r="E428" s="16"/>
    </row>
    <row r="429">
      <c r="C429" s="16"/>
      <c r="D429" s="16"/>
      <c r="E429" s="16"/>
    </row>
    <row r="430">
      <c r="C430" s="16"/>
      <c r="D430" s="16"/>
      <c r="E430" s="16"/>
    </row>
    <row r="431">
      <c r="C431" s="16"/>
      <c r="D431" s="16"/>
      <c r="E431" s="16"/>
    </row>
    <row r="432">
      <c r="C432" s="16"/>
      <c r="D432" s="16"/>
      <c r="E432" s="16"/>
    </row>
    <row r="433">
      <c r="C433" s="16"/>
      <c r="D433" s="16"/>
      <c r="E433" s="16"/>
    </row>
    <row r="434">
      <c r="C434" s="16"/>
      <c r="D434" s="16"/>
      <c r="E434" s="16"/>
    </row>
    <row r="435">
      <c r="C435" s="16"/>
      <c r="D435" s="16"/>
      <c r="E435" s="16"/>
    </row>
    <row r="436">
      <c r="C436" s="16"/>
      <c r="D436" s="16"/>
      <c r="E436" s="16"/>
    </row>
    <row r="437">
      <c r="C437" s="16"/>
      <c r="D437" s="16"/>
      <c r="E437" s="16"/>
    </row>
    <row r="438">
      <c r="C438" s="16"/>
      <c r="D438" s="16"/>
      <c r="E438" s="16"/>
    </row>
    <row r="439">
      <c r="C439" s="16"/>
      <c r="D439" s="16"/>
      <c r="E439" s="16"/>
    </row>
    <row r="440">
      <c r="C440" s="16"/>
      <c r="D440" s="16"/>
      <c r="E440" s="16"/>
    </row>
    <row r="441">
      <c r="C441" s="16"/>
      <c r="D441" s="16"/>
      <c r="E441" s="16"/>
    </row>
    <row r="442">
      <c r="C442" s="16"/>
      <c r="D442" s="16"/>
      <c r="E442" s="16"/>
    </row>
    <row r="443">
      <c r="C443" s="16"/>
      <c r="D443" s="16"/>
      <c r="E443" s="16"/>
    </row>
    <row r="444">
      <c r="C444" s="16"/>
      <c r="D444" s="16"/>
      <c r="E444" s="16"/>
    </row>
    <row r="445">
      <c r="C445" s="16"/>
      <c r="D445" s="16"/>
      <c r="E445" s="16"/>
    </row>
    <row r="446">
      <c r="C446" s="16"/>
      <c r="D446" s="16"/>
      <c r="E446" s="16"/>
    </row>
    <row r="447">
      <c r="C447" s="16"/>
      <c r="D447" s="16"/>
      <c r="E447" s="16"/>
    </row>
    <row r="448">
      <c r="C448" s="16"/>
      <c r="D448" s="16"/>
      <c r="E448" s="16"/>
    </row>
    <row r="449">
      <c r="C449" s="16"/>
      <c r="D449" s="16"/>
      <c r="E449" s="16"/>
    </row>
    <row r="450">
      <c r="C450" s="16"/>
      <c r="D450" s="16"/>
      <c r="E450" s="16"/>
    </row>
    <row r="451">
      <c r="C451" s="16"/>
      <c r="D451" s="16"/>
      <c r="E451" s="16"/>
    </row>
    <row r="452">
      <c r="C452" s="16"/>
      <c r="D452" s="16"/>
      <c r="E452" s="16"/>
    </row>
    <row r="453">
      <c r="C453" s="16"/>
      <c r="D453" s="16"/>
      <c r="E453" s="16"/>
    </row>
    <row r="454">
      <c r="C454" s="16"/>
      <c r="D454" s="16"/>
      <c r="E454" s="16"/>
    </row>
    <row r="455">
      <c r="C455" s="16"/>
      <c r="D455" s="16"/>
      <c r="E455" s="16"/>
    </row>
    <row r="456">
      <c r="C456" s="16"/>
      <c r="D456" s="16"/>
      <c r="E456" s="16"/>
    </row>
    <row r="457">
      <c r="C457" s="16"/>
      <c r="D457" s="16"/>
      <c r="E457" s="16"/>
    </row>
    <row r="458">
      <c r="C458" s="16"/>
      <c r="D458" s="16"/>
      <c r="E458" s="16"/>
    </row>
    <row r="459">
      <c r="C459" s="16"/>
      <c r="D459" s="16"/>
      <c r="E459" s="16"/>
    </row>
    <row r="460">
      <c r="C460" s="16"/>
      <c r="D460" s="16"/>
      <c r="E460" s="16"/>
    </row>
    <row r="461">
      <c r="C461" s="16"/>
      <c r="D461" s="16"/>
      <c r="E461" s="16"/>
    </row>
    <row r="462">
      <c r="C462" s="16"/>
      <c r="D462" s="16"/>
      <c r="E462" s="16"/>
    </row>
    <row r="463">
      <c r="C463" s="16"/>
      <c r="D463" s="16"/>
      <c r="E463" s="16"/>
    </row>
    <row r="464">
      <c r="C464" s="16"/>
      <c r="D464" s="16"/>
      <c r="E464" s="16"/>
    </row>
    <row r="465">
      <c r="C465" s="16"/>
      <c r="D465" s="16"/>
      <c r="E465" s="16"/>
    </row>
    <row r="466">
      <c r="C466" s="16"/>
      <c r="D466" s="16"/>
      <c r="E466" s="16"/>
    </row>
    <row r="467">
      <c r="C467" s="16"/>
      <c r="D467" s="16"/>
      <c r="E467" s="16"/>
    </row>
    <row r="468">
      <c r="C468" s="16"/>
      <c r="D468" s="16"/>
      <c r="E468" s="16"/>
    </row>
    <row r="469">
      <c r="C469" s="16"/>
      <c r="D469" s="16"/>
      <c r="E469" s="16"/>
    </row>
    <row r="470">
      <c r="C470" s="16"/>
      <c r="D470" s="16"/>
      <c r="E470" s="16"/>
    </row>
    <row r="471">
      <c r="C471" s="16"/>
      <c r="D471" s="16"/>
      <c r="E471" s="16"/>
    </row>
    <row r="472">
      <c r="C472" s="16"/>
      <c r="D472" s="16"/>
      <c r="E472" s="16"/>
    </row>
    <row r="473">
      <c r="C473" s="16"/>
      <c r="D473" s="16"/>
      <c r="E473" s="16"/>
    </row>
    <row r="474">
      <c r="C474" s="16"/>
      <c r="D474" s="16"/>
      <c r="E474" s="16"/>
    </row>
    <row r="475">
      <c r="C475" s="16"/>
      <c r="D475" s="16"/>
      <c r="E475" s="16"/>
    </row>
    <row r="476">
      <c r="C476" s="16"/>
      <c r="D476" s="16"/>
      <c r="E476" s="16"/>
    </row>
    <row r="477">
      <c r="C477" s="16"/>
      <c r="D477" s="16"/>
      <c r="E477" s="16"/>
    </row>
    <row r="478">
      <c r="C478" s="16"/>
      <c r="D478" s="16"/>
      <c r="E478" s="16"/>
    </row>
    <row r="479">
      <c r="C479" s="16"/>
      <c r="D479" s="16"/>
      <c r="E479" s="16"/>
    </row>
    <row r="480">
      <c r="C480" s="16"/>
      <c r="D480" s="16"/>
      <c r="E480" s="16"/>
    </row>
    <row r="481">
      <c r="C481" s="16"/>
      <c r="D481" s="16"/>
      <c r="E481" s="16"/>
    </row>
    <row r="482">
      <c r="C482" s="16"/>
      <c r="D482" s="16"/>
      <c r="E482" s="16"/>
    </row>
    <row r="483">
      <c r="C483" s="16"/>
      <c r="D483" s="16"/>
      <c r="E483" s="16"/>
    </row>
    <row r="484">
      <c r="C484" s="16"/>
      <c r="D484" s="16"/>
      <c r="E484" s="16"/>
    </row>
    <row r="485">
      <c r="C485" s="16"/>
      <c r="D485" s="16"/>
      <c r="E485" s="16"/>
    </row>
    <row r="486">
      <c r="C486" s="16"/>
      <c r="D486" s="16"/>
      <c r="E486" s="16"/>
    </row>
    <row r="487">
      <c r="C487" s="16"/>
      <c r="D487" s="16"/>
      <c r="E487" s="16"/>
    </row>
    <row r="488">
      <c r="C488" s="16"/>
      <c r="D488" s="16"/>
      <c r="E488" s="16"/>
    </row>
    <row r="489">
      <c r="C489" s="16"/>
      <c r="D489" s="16"/>
      <c r="E489" s="16"/>
    </row>
    <row r="490">
      <c r="C490" s="16"/>
      <c r="D490" s="16"/>
      <c r="E490" s="16"/>
    </row>
    <row r="491">
      <c r="C491" s="16"/>
      <c r="D491" s="16"/>
      <c r="E491" s="16"/>
    </row>
    <row r="492">
      <c r="C492" s="16"/>
      <c r="D492" s="16"/>
      <c r="E492" s="16"/>
    </row>
    <row r="493">
      <c r="C493" s="16"/>
      <c r="D493" s="16"/>
      <c r="E493" s="16"/>
    </row>
    <row r="494">
      <c r="C494" s="16"/>
      <c r="D494" s="16"/>
      <c r="E494" s="16"/>
    </row>
    <row r="495">
      <c r="C495" s="16"/>
      <c r="D495" s="16"/>
      <c r="E495" s="16"/>
    </row>
    <row r="496">
      <c r="C496" s="16"/>
      <c r="D496" s="16"/>
      <c r="E496" s="16"/>
    </row>
    <row r="497">
      <c r="C497" s="16"/>
      <c r="D497" s="16"/>
      <c r="E497" s="16"/>
    </row>
    <row r="498">
      <c r="C498" s="16"/>
      <c r="D498" s="16"/>
      <c r="E498" s="16"/>
    </row>
    <row r="499">
      <c r="C499" s="16"/>
      <c r="D499" s="16"/>
      <c r="E499" s="16"/>
    </row>
    <row r="500">
      <c r="C500" s="16"/>
      <c r="D500" s="16"/>
      <c r="E500" s="16"/>
    </row>
    <row r="501">
      <c r="C501" s="16"/>
      <c r="D501" s="16"/>
      <c r="E501" s="16"/>
    </row>
    <row r="502">
      <c r="C502" s="16"/>
      <c r="D502" s="16"/>
      <c r="E502" s="16"/>
    </row>
    <row r="503">
      <c r="C503" s="16"/>
      <c r="D503" s="16"/>
      <c r="E503" s="16"/>
    </row>
    <row r="504">
      <c r="C504" s="16"/>
      <c r="D504" s="16"/>
      <c r="E504" s="16"/>
    </row>
    <row r="505">
      <c r="C505" s="16"/>
      <c r="D505" s="16"/>
      <c r="E505" s="16"/>
    </row>
    <row r="506">
      <c r="C506" s="16"/>
      <c r="D506" s="16"/>
      <c r="E506" s="16"/>
    </row>
    <row r="507">
      <c r="C507" s="16"/>
      <c r="D507" s="16"/>
      <c r="E507" s="16"/>
    </row>
    <row r="508">
      <c r="C508" s="16"/>
      <c r="D508" s="16"/>
      <c r="E508" s="16"/>
    </row>
    <row r="509">
      <c r="C509" s="16"/>
      <c r="D509" s="16"/>
      <c r="E509" s="16"/>
    </row>
    <row r="510">
      <c r="C510" s="16"/>
      <c r="D510" s="16"/>
      <c r="E510" s="16"/>
    </row>
    <row r="511">
      <c r="C511" s="16"/>
      <c r="D511" s="16"/>
      <c r="E511" s="16"/>
    </row>
    <row r="512">
      <c r="C512" s="16"/>
      <c r="D512" s="16"/>
      <c r="E512" s="16"/>
    </row>
    <row r="513">
      <c r="C513" s="16"/>
      <c r="D513" s="16"/>
      <c r="E513" s="16"/>
    </row>
    <row r="514">
      <c r="C514" s="16"/>
      <c r="D514" s="16"/>
      <c r="E514" s="16"/>
    </row>
    <row r="515">
      <c r="C515" s="16"/>
      <c r="D515" s="16"/>
      <c r="E515" s="16"/>
    </row>
    <row r="516">
      <c r="C516" s="16"/>
      <c r="D516" s="16"/>
      <c r="E516" s="16"/>
    </row>
    <row r="517">
      <c r="C517" s="16"/>
      <c r="D517" s="16"/>
      <c r="E517" s="16"/>
    </row>
    <row r="518">
      <c r="C518" s="16"/>
      <c r="D518" s="16"/>
      <c r="E518" s="16"/>
    </row>
    <row r="519">
      <c r="C519" s="16"/>
      <c r="D519" s="16"/>
      <c r="E519" s="16"/>
    </row>
    <row r="520">
      <c r="C520" s="16"/>
      <c r="D520" s="16"/>
      <c r="E520" s="16"/>
    </row>
    <row r="521">
      <c r="C521" s="16"/>
      <c r="D521" s="16"/>
      <c r="E521" s="16"/>
    </row>
    <row r="522">
      <c r="C522" s="16"/>
      <c r="D522" s="16"/>
      <c r="E522" s="16"/>
    </row>
    <row r="523">
      <c r="C523" s="16"/>
      <c r="D523" s="16"/>
      <c r="E523" s="16"/>
    </row>
    <row r="524">
      <c r="C524" s="16"/>
      <c r="D524" s="16"/>
      <c r="E524" s="16"/>
    </row>
    <row r="525">
      <c r="C525" s="16"/>
      <c r="D525" s="16"/>
      <c r="E525" s="16"/>
    </row>
    <row r="526">
      <c r="C526" s="16"/>
      <c r="D526" s="16"/>
      <c r="E526" s="16"/>
    </row>
    <row r="527">
      <c r="C527" s="16"/>
      <c r="D527" s="16"/>
      <c r="E527" s="16"/>
    </row>
    <row r="528">
      <c r="C528" s="16"/>
      <c r="D528" s="16"/>
      <c r="E528" s="16"/>
    </row>
    <row r="529">
      <c r="C529" s="16"/>
      <c r="D529" s="16"/>
      <c r="E529" s="16"/>
    </row>
    <row r="530">
      <c r="C530" s="16"/>
      <c r="D530" s="16"/>
      <c r="E530" s="16"/>
    </row>
    <row r="531">
      <c r="C531" s="16"/>
      <c r="D531" s="16"/>
      <c r="E531" s="16"/>
    </row>
    <row r="532">
      <c r="C532" s="16"/>
      <c r="D532" s="16"/>
      <c r="E532" s="16"/>
    </row>
    <row r="533">
      <c r="C533" s="16"/>
      <c r="D533" s="16"/>
      <c r="E533" s="16"/>
    </row>
    <row r="534">
      <c r="C534" s="16"/>
      <c r="D534" s="16"/>
      <c r="E534" s="16"/>
    </row>
    <row r="535">
      <c r="C535" s="16"/>
      <c r="D535" s="16"/>
      <c r="E535" s="16"/>
    </row>
    <row r="536">
      <c r="C536" s="16"/>
      <c r="D536" s="16"/>
      <c r="E536" s="16"/>
    </row>
    <row r="537">
      <c r="C537" s="16"/>
      <c r="D537" s="16"/>
      <c r="E537" s="16"/>
    </row>
    <row r="538">
      <c r="C538" s="16"/>
      <c r="D538" s="16"/>
      <c r="E538" s="16"/>
    </row>
    <row r="539">
      <c r="C539" s="16"/>
      <c r="D539" s="16"/>
      <c r="E539" s="16"/>
    </row>
    <row r="540">
      <c r="C540" s="16"/>
      <c r="D540" s="16"/>
      <c r="E540" s="16"/>
    </row>
    <row r="541">
      <c r="C541" s="16"/>
      <c r="D541" s="16"/>
      <c r="E541" s="16"/>
    </row>
    <row r="542">
      <c r="C542" s="16"/>
      <c r="D542" s="16"/>
      <c r="E542" s="16"/>
    </row>
    <row r="543">
      <c r="C543" s="16"/>
      <c r="D543" s="16"/>
      <c r="E543" s="16"/>
    </row>
    <row r="544">
      <c r="C544" s="16"/>
      <c r="D544" s="16"/>
      <c r="E544" s="16"/>
    </row>
    <row r="545">
      <c r="C545" s="16"/>
      <c r="D545" s="16"/>
      <c r="E545" s="16"/>
    </row>
    <row r="546">
      <c r="C546" s="16"/>
      <c r="D546" s="16"/>
      <c r="E546" s="16"/>
    </row>
    <row r="547">
      <c r="C547" s="16"/>
      <c r="D547" s="16"/>
      <c r="E547" s="16"/>
    </row>
    <row r="548">
      <c r="C548" s="16"/>
      <c r="D548" s="16"/>
      <c r="E548" s="16"/>
    </row>
    <row r="549">
      <c r="C549" s="16"/>
      <c r="D549" s="16"/>
      <c r="E549" s="16"/>
    </row>
    <row r="550">
      <c r="C550" s="16"/>
      <c r="D550" s="16"/>
      <c r="E550" s="16"/>
    </row>
    <row r="551">
      <c r="C551" s="16"/>
      <c r="D551" s="16"/>
      <c r="E551" s="16"/>
    </row>
    <row r="552">
      <c r="C552" s="16"/>
      <c r="D552" s="16"/>
      <c r="E552" s="16"/>
    </row>
    <row r="553">
      <c r="C553" s="16"/>
      <c r="D553" s="16"/>
      <c r="E553" s="16"/>
    </row>
    <row r="554">
      <c r="C554" s="16"/>
      <c r="D554" s="16"/>
      <c r="E554" s="16"/>
    </row>
    <row r="555">
      <c r="C555" s="16"/>
      <c r="D555" s="16"/>
      <c r="E555" s="16"/>
    </row>
    <row r="556">
      <c r="C556" s="16"/>
      <c r="D556" s="16"/>
      <c r="E556" s="16"/>
    </row>
    <row r="557">
      <c r="C557" s="16"/>
      <c r="D557" s="16"/>
      <c r="E557" s="16"/>
    </row>
    <row r="558">
      <c r="C558" s="16"/>
      <c r="D558" s="16"/>
      <c r="E558" s="16"/>
    </row>
    <row r="559">
      <c r="C559" s="16"/>
      <c r="D559" s="16"/>
      <c r="E559" s="16"/>
    </row>
    <row r="560">
      <c r="C560" s="16"/>
      <c r="D560" s="16"/>
      <c r="E560" s="16"/>
    </row>
    <row r="561">
      <c r="C561" s="16"/>
      <c r="D561" s="16"/>
      <c r="E561" s="16"/>
    </row>
    <row r="562">
      <c r="C562" s="16"/>
      <c r="D562" s="16"/>
      <c r="E562" s="16"/>
    </row>
    <row r="563">
      <c r="C563" s="16"/>
      <c r="D563" s="16"/>
      <c r="E563" s="16"/>
    </row>
    <row r="564">
      <c r="C564" s="16"/>
      <c r="D564" s="16"/>
      <c r="E564" s="16"/>
    </row>
    <row r="565">
      <c r="C565" s="16"/>
      <c r="D565" s="16"/>
      <c r="E565" s="16"/>
    </row>
    <row r="566">
      <c r="C566" s="16"/>
      <c r="D566" s="16"/>
      <c r="E566" s="16"/>
    </row>
    <row r="567">
      <c r="C567" s="16"/>
      <c r="D567" s="16"/>
      <c r="E567" s="16"/>
    </row>
    <row r="568">
      <c r="C568" s="16"/>
      <c r="D568" s="16"/>
      <c r="E568" s="16"/>
    </row>
    <row r="569">
      <c r="C569" s="16"/>
      <c r="D569" s="16"/>
      <c r="E569" s="16"/>
    </row>
    <row r="570">
      <c r="C570" s="16"/>
      <c r="D570" s="16"/>
      <c r="E570" s="16"/>
    </row>
    <row r="571">
      <c r="C571" s="16"/>
      <c r="D571" s="16"/>
      <c r="E571" s="16"/>
    </row>
    <row r="572">
      <c r="C572" s="16"/>
      <c r="D572" s="16"/>
      <c r="E572" s="16"/>
    </row>
    <row r="573">
      <c r="C573" s="16"/>
      <c r="D573" s="16"/>
      <c r="E573" s="16"/>
    </row>
    <row r="574">
      <c r="C574" s="16"/>
      <c r="D574" s="16"/>
      <c r="E574" s="16"/>
    </row>
    <row r="575">
      <c r="C575" s="16"/>
      <c r="D575" s="16"/>
      <c r="E575" s="16"/>
    </row>
    <row r="576">
      <c r="C576" s="16"/>
      <c r="D576" s="16"/>
      <c r="E576" s="16"/>
    </row>
    <row r="577">
      <c r="C577" s="16"/>
      <c r="D577" s="16"/>
      <c r="E577" s="16"/>
    </row>
    <row r="578">
      <c r="C578" s="16"/>
      <c r="D578" s="16"/>
      <c r="E578" s="16"/>
    </row>
    <row r="579">
      <c r="C579" s="16"/>
      <c r="D579" s="16"/>
      <c r="E579" s="16"/>
    </row>
    <row r="580">
      <c r="C580" s="16"/>
      <c r="D580" s="16"/>
      <c r="E580" s="16"/>
    </row>
    <row r="581">
      <c r="C581" s="16"/>
      <c r="D581" s="16"/>
      <c r="E581" s="16"/>
    </row>
    <row r="582">
      <c r="C582" s="16"/>
      <c r="D582" s="16"/>
      <c r="E582" s="16"/>
    </row>
    <row r="583">
      <c r="C583" s="16"/>
      <c r="D583" s="16"/>
      <c r="E583" s="16"/>
    </row>
    <row r="584">
      <c r="C584" s="16"/>
      <c r="D584" s="16"/>
      <c r="E584" s="16"/>
    </row>
    <row r="585">
      <c r="C585" s="16"/>
      <c r="D585" s="16"/>
      <c r="E585" s="16"/>
    </row>
    <row r="586">
      <c r="C586" s="16"/>
      <c r="D586" s="16"/>
      <c r="E586" s="16"/>
    </row>
    <row r="587">
      <c r="C587" s="16"/>
      <c r="D587" s="16"/>
      <c r="E587" s="16"/>
    </row>
    <row r="588">
      <c r="C588" s="16"/>
      <c r="D588" s="16"/>
      <c r="E588" s="16"/>
    </row>
    <row r="589">
      <c r="C589" s="16"/>
      <c r="D589" s="16"/>
      <c r="E589" s="16"/>
    </row>
    <row r="590">
      <c r="C590" s="16"/>
      <c r="D590" s="16"/>
      <c r="E590" s="16"/>
    </row>
    <row r="591">
      <c r="C591" s="16"/>
      <c r="D591" s="16"/>
      <c r="E591" s="16"/>
    </row>
    <row r="592">
      <c r="C592" s="16"/>
      <c r="D592" s="16"/>
      <c r="E592" s="16"/>
    </row>
    <row r="593">
      <c r="C593" s="16"/>
      <c r="D593" s="16"/>
      <c r="E593" s="16"/>
    </row>
    <row r="594">
      <c r="C594" s="16"/>
      <c r="D594" s="16"/>
      <c r="E594" s="16"/>
    </row>
    <row r="595">
      <c r="C595" s="16"/>
      <c r="D595" s="16"/>
      <c r="E595" s="16"/>
    </row>
    <row r="596">
      <c r="C596" s="16"/>
      <c r="D596" s="16"/>
      <c r="E596" s="16"/>
    </row>
    <row r="597">
      <c r="C597" s="16"/>
      <c r="D597" s="16"/>
      <c r="E597" s="16"/>
    </row>
    <row r="598">
      <c r="C598" s="16"/>
      <c r="D598" s="16"/>
      <c r="E598" s="16"/>
    </row>
    <row r="599">
      <c r="C599" s="16"/>
      <c r="D599" s="16"/>
      <c r="E599" s="16"/>
    </row>
    <row r="600">
      <c r="C600" s="16"/>
      <c r="D600" s="16"/>
      <c r="E600" s="16"/>
    </row>
    <row r="601">
      <c r="C601" s="16"/>
      <c r="D601" s="16"/>
      <c r="E601" s="16"/>
    </row>
    <row r="602">
      <c r="C602" s="16"/>
      <c r="D602" s="16"/>
      <c r="E602" s="16"/>
    </row>
    <row r="603">
      <c r="C603" s="16"/>
      <c r="D603" s="16"/>
      <c r="E603" s="16"/>
    </row>
    <row r="604">
      <c r="C604" s="16"/>
      <c r="D604" s="16"/>
      <c r="E604" s="16"/>
    </row>
    <row r="605">
      <c r="C605" s="16"/>
      <c r="D605" s="16"/>
      <c r="E605" s="16"/>
    </row>
    <row r="606">
      <c r="C606" s="16"/>
      <c r="D606" s="16"/>
      <c r="E606" s="16"/>
    </row>
    <row r="607">
      <c r="C607" s="16"/>
      <c r="D607" s="16"/>
      <c r="E607" s="16"/>
    </row>
    <row r="608">
      <c r="C608" s="16"/>
      <c r="D608" s="16"/>
      <c r="E608" s="16"/>
    </row>
    <row r="609">
      <c r="C609" s="16"/>
      <c r="D609" s="16"/>
      <c r="E609" s="16"/>
    </row>
    <row r="610">
      <c r="C610" s="16"/>
      <c r="D610" s="16"/>
      <c r="E610" s="16"/>
    </row>
    <row r="611">
      <c r="C611" s="16"/>
      <c r="D611" s="16"/>
      <c r="E611" s="16"/>
    </row>
    <row r="612">
      <c r="C612" s="16"/>
      <c r="D612" s="16"/>
      <c r="E612" s="16"/>
    </row>
    <row r="613">
      <c r="C613" s="16"/>
      <c r="D613" s="16"/>
      <c r="E613" s="16"/>
    </row>
    <row r="614">
      <c r="C614" s="16"/>
      <c r="D614" s="16"/>
      <c r="E614" s="16"/>
    </row>
    <row r="615">
      <c r="C615" s="16"/>
      <c r="D615" s="16"/>
      <c r="E615" s="16"/>
    </row>
    <row r="616">
      <c r="C616" s="16"/>
      <c r="D616" s="16"/>
      <c r="E616" s="16"/>
    </row>
    <row r="617">
      <c r="C617" s="16"/>
      <c r="D617" s="16"/>
      <c r="E617" s="16"/>
    </row>
    <row r="618">
      <c r="C618" s="16"/>
      <c r="D618" s="16"/>
      <c r="E618" s="16"/>
    </row>
    <row r="619">
      <c r="C619" s="16"/>
      <c r="D619" s="16"/>
      <c r="E619" s="16"/>
    </row>
    <row r="620">
      <c r="C620" s="16"/>
      <c r="D620" s="16"/>
      <c r="E620" s="16"/>
    </row>
    <row r="621">
      <c r="C621" s="16"/>
      <c r="D621" s="16"/>
      <c r="E621" s="16"/>
    </row>
    <row r="622">
      <c r="C622" s="16"/>
      <c r="D622" s="16"/>
      <c r="E622" s="16"/>
    </row>
    <row r="623">
      <c r="C623" s="16"/>
      <c r="D623" s="16"/>
      <c r="E623" s="16"/>
    </row>
    <row r="624">
      <c r="C624" s="16"/>
      <c r="D624" s="16"/>
      <c r="E624" s="16"/>
    </row>
    <row r="625">
      <c r="C625" s="16"/>
      <c r="D625" s="16"/>
      <c r="E625" s="16"/>
    </row>
    <row r="626">
      <c r="C626" s="16"/>
      <c r="D626" s="16"/>
      <c r="E626" s="16"/>
    </row>
    <row r="627">
      <c r="C627" s="16"/>
      <c r="D627" s="16"/>
      <c r="E627" s="16"/>
    </row>
    <row r="628">
      <c r="C628" s="16"/>
      <c r="D628" s="16"/>
      <c r="E628" s="16"/>
    </row>
    <row r="629">
      <c r="C629" s="16"/>
      <c r="D629" s="16"/>
      <c r="E629" s="16"/>
    </row>
    <row r="630">
      <c r="C630" s="16"/>
      <c r="D630" s="16"/>
      <c r="E630" s="16"/>
    </row>
    <row r="631">
      <c r="C631" s="16"/>
      <c r="D631" s="16"/>
      <c r="E631" s="16"/>
    </row>
    <row r="632">
      <c r="C632" s="16"/>
      <c r="D632" s="16"/>
      <c r="E632" s="16"/>
    </row>
    <row r="633">
      <c r="C633" s="16"/>
      <c r="D633" s="16"/>
      <c r="E633" s="16"/>
    </row>
    <row r="634">
      <c r="C634" s="16"/>
      <c r="D634" s="16"/>
      <c r="E634" s="16"/>
    </row>
    <row r="635">
      <c r="C635" s="16"/>
      <c r="D635" s="16"/>
      <c r="E635" s="16"/>
    </row>
    <row r="636">
      <c r="C636" s="16"/>
      <c r="D636" s="16"/>
      <c r="E636" s="16"/>
    </row>
    <row r="637">
      <c r="C637" s="16"/>
      <c r="D637" s="16"/>
      <c r="E637" s="16"/>
    </row>
    <row r="638">
      <c r="C638" s="16"/>
      <c r="D638" s="16"/>
      <c r="E638" s="16"/>
    </row>
    <row r="639">
      <c r="C639" s="16"/>
      <c r="D639" s="16"/>
      <c r="E639" s="16"/>
    </row>
    <row r="640">
      <c r="C640" s="16"/>
      <c r="D640" s="16"/>
      <c r="E640" s="16"/>
    </row>
    <row r="641">
      <c r="C641" s="16"/>
      <c r="D641" s="16"/>
      <c r="E641" s="16"/>
    </row>
    <row r="642">
      <c r="C642" s="16"/>
      <c r="D642" s="16"/>
      <c r="E642" s="16"/>
    </row>
    <row r="643">
      <c r="C643" s="16"/>
      <c r="D643" s="16"/>
      <c r="E643" s="16"/>
    </row>
    <row r="644">
      <c r="C644" s="16"/>
      <c r="D644" s="16"/>
      <c r="E644" s="16"/>
    </row>
    <row r="645">
      <c r="C645" s="16"/>
      <c r="D645" s="16"/>
      <c r="E645" s="16"/>
    </row>
    <row r="646">
      <c r="C646" s="16"/>
      <c r="D646" s="16"/>
      <c r="E646" s="16"/>
    </row>
    <row r="647">
      <c r="C647" s="16"/>
      <c r="D647" s="16"/>
      <c r="E647" s="16"/>
    </row>
    <row r="648">
      <c r="C648" s="16"/>
      <c r="D648" s="16"/>
      <c r="E648" s="16"/>
    </row>
    <row r="649">
      <c r="C649" s="16"/>
      <c r="D649" s="16"/>
      <c r="E649" s="16"/>
    </row>
    <row r="650">
      <c r="C650" s="16"/>
      <c r="D650" s="16"/>
      <c r="E650" s="16"/>
    </row>
    <row r="651">
      <c r="C651" s="16"/>
      <c r="D651" s="16"/>
      <c r="E651" s="16"/>
    </row>
    <row r="652">
      <c r="C652" s="16"/>
      <c r="D652" s="16"/>
      <c r="E652" s="16"/>
    </row>
    <row r="653">
      <c r="C653" s="16"/>
      <c r="D653" s="16"/>
      <c r="E653" s="16"/>
    </row>
    <row r="654">
      <c r="C654" s="16"/>
      <c r="D654" s="16"/>
      <c r="E654" s="16"/>
    </row>
    <row r="655">
      <c r="C655" s="16"/>
      <c r="D655" s="16"/>
      <c r="E655" s="16"/>
    </row>
    <row r="656">
      <c r="C656" s="16"/>
      <c r="D656" s="16"/>
      <c r="E656" s="16"/>
    </row>
    <row r="657">
      <c r="C657" s="16"/>
      <c r="D657" s="16"/>
      <c r="E657" s="16"/>
    </row>
    <row r="658">
      <c r="C658" s="16"/>
      <c r="D658" s="16"/>
      <c r="E658" s="16"/>
    </row>
    <row r="659">
      <c r="C659" s="16"/>
      <c r="D659" s="16"/>
      <c r="E659" s="16"/>
    </row>
    <row r="660">
      <c r="C660" s="16"/>
      <c r="D660" s="16"/>
      <c r="E660" s="16"/>
    </row>
    <row r="661">
      <c r="C661" s="16"/>
      <c r="D661" s="16"/>
      <c r="E661" s="16"/>
    </row>
    <row r="662">
      <c r="C662" s="16"/>
      <c r="D662" s="16"/>
      <c r="E662" s="16"/>
    </row>
    <row r="663">
      <c r="C663" s="16"/>
      <c r="D663" s="16"/>
      <c r="E663" s="16"/>
    </row>
    <row r="664">
      <c r="C664" s="16"/>
      <c r="D664" s="16"/>
      <c r="E664" s="16"/>
    </row>
    <row r="665">
      <c r="C665" s="16"/>
      <c r="D665" s="16"/>
      <c r="E665" s="16"/>
    </row>
    <row r="666">
      <c r="C666" s="16"/>
      <c r="D666" s="16"/>
      <c r="E666" s="16"/>
    </row>
    <row r="667">
      <c r="C667" s="16"/>
      <c r="D667" s="16"/>
      <c r="E667" s="16"/>
    </row>
    <row r="668">
      <c r="C668" s="16"/>
      <c r="D668" s="16"/>
      <c r="E668" s="16"/>
    </row>
    <row r="669">
      <c r="C669" s="16"/>
      <c r="D669" s="16"/>
      <c r="E669" s="16"/>
    </row>
    <row r="670">
      <c r="C670" s="16"/>
      <c r="D670" s="16"/>
      <c r="E670" s="16"/>
    </row>
    <row r="671">
      <c r="C671" s="16"/>
      <c r="D671" s="16"/>
      <c r="E671" s="16"/>
    </row>
    <row r="672">
      <c r="C672" s="16"/>
      <c r="D672" s="16"/>
      <c r="E672" s="16"/>
    </row>
    <row r="673">
      <c r="C673" s="16"/>
      <c r="D673" s="16"/>
      <c r="E673" s="16"/>
    </row>
    <row r="674">
      <c r="C674" s="16"/>
      <c r="D674" s="16"/>
      <c r="E674" s="16"/>
    </row>
    <row r="675">
      <c r="C675" s="16"/>
      <c r="D675" s="16"/>
      <c r="E675" s="16"/>
    </row>
    <row r="676">
      <c r="C676" s="16"/>
      <c r="D676" s="16"/>
      <c r="E676" s="16"/>
    </row>
    <row r="677">
      <c r="C677" s="16"/>
      <c r="D677" s="16"/>
      <c r="E677" s="16"/>
    </row>
    <row r="678">
      <c r="C678" s="16"/>
      <c r="D678" s="16"/>
      <c r="E678" s="16"/>
    </row>
    <row r="679">
      <c r="C679" s="16"/>
      <c r="D679" s="16"/>
      <c r="E679" s="16"/>
    </row>
    <row r="680">
      <c r="C680" s="16"/>
      <c r="D680" s="16"/>
      <c r="E680" s="16"/>
    </row>
    <row r="681">
      <c r="C681" s="16"/>
      <c r="D681" s="16"/>
      <c r="E681" s="16"/>
    </row>
    <row r="682">
      <c r="C682" s="16"/>
      <c r="D682" s="16"/>
      <c r="E682" s="16"/>
    </row>
    <row r="683">
      <c r="C683" s="16"/>
      <c r="D683" s="16"/>
      <c r="E683" s="16"/>
    </row>
    <row r="684">
      <c r="C684" s="16"/>
      <c r="D684" s="16"/>
      <c r="E684" s="16"/>
    </row>
    <row r="685">
      <c r="C685" s="16"/>
      <c r="D685" s="16"/>
      <c r="E685" s="16"/>
    </row>
    <row r="686">
      <c r="C686" s="16"/>
      <c r="D686" s="16"/>
      <c r="E686" s="16"/>
    </row>
    <row r="687">
      <c r="C687" s="16"/>
      <c r="D687" s="16"/>
      <c r="E687" s="16"/>
    </row>
    <row r="688">
      <c r="C688" s="16"/>
      <c r="D688" s="16"/>
      <c r="E688" s="16"/>
    </row>
    <row r="689">
      <c r="C689" s="16"/>
      <c r="D689" s="16"/>
      <c r="E689" s="16"/>
    </row>
    <row r="690">
      <c r="C690" s="16"/>
      <c r="D690" s="16"/>
      <c r="E690" s="16"/>
    </row>
    <row r="691">
      <c r="C691" s="16"/>
      <c r="D691" s="16"/>
      <c r="E691" s="16"/>
    </row>
    <row r="692">
      <c r="C692" s="16"/>
      <c r="D692" s="16"/>
      <c r="E692" s="16"/>
    </row>
    <row r="693">
      <c r="C693" s="16"/>
      <c r="D693" s="16"/>
      <c r="E693" s="16"/>
    </row>
    <row r="694">
      <c r="C694" s="16"/>
      <c r="D694" s="16"/>
      <c r="E694" s="16"/>
    </row>
    <row r="695">
      <c r="C695" s="16"/>
      <c r="D695" s="16"/>
      <c r="E695" s="16"/>
    </row>
    <row r="696">
      <c r="C696" s="16"/>
      <c r="D696" s="16"/>
      <c r="E696" s="16"/>
    </row>
    <row r="697">
      <c r="C697" s="16"/>
      <c r="D697" s="16"/>
      <c r="E697" s="16"/>
    </row>
    <row r="698">
      <c r="C698" s="16"/>
      <c r="D698" s="16"/>
      <c r="E698" s="16"/>
    </row>
    <row r="699">
      <c r="C699" s="16"/>
      <c r="D699" s="16"/>
      <c r="E699" s="16"/>
    </row>
    <row r="700">
      <c r="C700" s="16"/>
      <c r="D700" s="16"/>
      <c r="E700" s="16"/>
    </row>
    <row r="701">
      <c r="C701" s="16"/>
      <c r="D701" s="16"/>
      <c r="E701" s="16"/>
    </row>
    <row r="702">
      <c r="C702" s="16"/>
      <c r="D702" s="16"/>
      <c r="E702" s="16"/>
    </row>
    <row r="703">
      <c r="C703" s="16"/>
      <c r="D703" s="16"/>
      <c r="E703" s="16"/>
    </row>
    <row r="704">
      <c r="C704" s="16"/>
      <c r="D704" s="16"/>
      <c r="E704" s="16"/>
    </row>
    <row r="705">
      <c r="C705" s="16"/>
      <c r="D705" s="16"/>
      <c r="E705" s="16"/>
    </row>
    <row r="706">
      <c r="C706" s="16"/>
      <c r="D706" s="16"/>
      <c r="E706" s="16"/>
    </row>
    <row r="707">
      <c r="C707" s="16"/>
      <c r="D707" s="16"/>
      <c r="E707" s="16"/>
    </row>
    <row r="708">
      <c r="C708" s="16"/>
      <c r="D708" s="16"/>
      <c r="E708" s="16"/>
    </row>
    <row r="709">
      <c r="C709" s="16"/>
      <c r="D709" s="16"/>
      <c r="E709" s="16"/>
    </row>
    <row r="710">
      <c r="C710" s="16"/>
      <c r="D710" s="16"/>
      <c r="E710" s="16"/>
    </row>
    <row r="711">
      <c r="C711" s="16"/>
      <c r="D711" s="16"/>
      <c r="E711" s="16"/>
    </row>
    <row r="712">
      <c r="C712" s="16"/>
      <c r="D712" s="16"/>
      <c r="E712" s="16"/>
    </row>
    <row r="713">
      <c r="C713" s="16"/>
      <c r="D713" s="16"/>
      <c r="E713" s="16"/>
    </row>
    <row r="714">
      <c r="C714" s="16"/>
      <c r="D714" s="16"/>
      <c r="E714" s="16"/>
    </row>
    <row r="715">
      <c r="C715" s="16"/>
      <c r="D715" s="16"/>
      <c r="E715" s="16"/>
    </row>
    <row r="716">
      <c r="C716" s="16"/>
      <c r="D716" s="16"/>
      <c r="E716" s="16"/>
    </row>
    <row r="717">
      <c r="C717" s="16"/>
      <c r="D717" s="16"/>
      <c r="E717" s="16"/>
    </row>
    <row r="718">
      <c r="C718" s="16"/>
      <c r="D718" s="16"/>
      <c r="E718" s="16"/>
    </row>
    <row r="719">
      <c r="C719" s="16"/>
      <c r="D719" s="16"/>
      <c r="E719" s="16"/>
    </row>
    <row r="720">
      <c r="C720" s="16"/>
      <c r="D720" s="16"/>
      <c r="E720" s="16"/>
    </row>
    <row r="721">
      <c r="C721" s="16"/>
      <c r="D721" s="16"/>
      <c r="E721" s="16"/>
    </row>
    <row r="722">
      <c r="C722" s="16"/>
      <c r="D722" s="16"/>
      <c r="E722" s="16"/>
    </row>
    <row r="723">
      <c r="C723" s="16"/>
      <c r="D723" s="16"/>
      <c r="E723" s="16"/>
    </row>
    <row r="724">
      <c r="C724" s="16"/>
      <c r="D724" s="16"/>
      <c r="E724" s="16"/>
    </row>
    <row r="725">
      <c r="C725" s="16"/>
      <c r="D725" s="16"/>
      <c r="E725" s="16"/>
    </row>
    <row r="726">
      <c r="C726" s="16"/>
      <c r="D726" s="16"/>
      <c r="E726" s="16"/>
    </row>
    <row r="727">
      <c r="C727" s="16"/>
      <c r="D727" s="16"/>
      <c r="E727" s="16"/>
    </row>
    <row r="728">
      <c r="C728" s="16"/>
      <c r="D728" s="16"/>
      <c r="E728" s="16"/>
    </row>
    <row r="729">
      <c r="C729" s="16"/>
      <c r="D729" s="16"/>
      <c r="E729" s="16"/>
    </row>
    <row r="730">
      <c r="C730" s="16"/>
      <c r="D730" s="16"/>
      <c r="E730" s="16"/>
    </row>
    <row r="731">
      <c r="C731" s="16"/>
      <c r="D731" s="16"/>
      <c r="E731" s="16"/>
    </row>
    <row r="732">
      <c r="C732" s="16"/>
      <c r="D732" s="16"/>
      <c r="E732" s="16"/>
    </row>
    <row r="733">
      <c r="C733" s="16"/>
      <c r="D733" s="16"/>
      <c r="E733" s="16"/>
    </row>
    <row r="734">
      <c r="C734" s="16"/>
      <c r="D734" s="16"/>
      <c r="E734" s="16"/>
    </row>
    <row r="735">
      <c r="C735" s="16"/>
      <c r="D735" s="16"/>
      <c r="E735" s="16"/>
    </row>
    <row r="736">
      <c r="C736" s="16"/>
      <c r="D736" s="16"/>
      <c r="E736" s="16"/>
    </row>
    <row r="737">
      <c r="C737" s="16"/>
      <c r="D737" s="16"/>
      <c r="E737" s="16"/>
    </row>
    <row r="738">
      <c r="C738" s="16"/>
      <c r="D738" s="16"/>
      <c r="E738" s="16"/>
    </row>
    <row r="739">
      <c r="C739" s="16"/>
      <c r="D739" s="16"/>
      <c r="E739" s="16"/>
    </row>
    <row r="740">
      <c r="C740" s="16"/>
      <c r="D740" s="16"/>
      <c r="E740" s="16"/>
    </row>
    <row r="741">
      <c r="C741" s="16"/>
      <c r="D741" s="16"/>
      <c r="E741" s="16"/>
    </row>
    <row r="742">
      <c r="C742" s="16"/>
      <c r="D742" s="16"/>
      <c r="E742" s="16"/>
    </row>
    <row r="743">
      <c r="C743" s="16"/>
      <c r="D743" s="16"/>
      <c r="E743" s="16"/>
    </row>
    <row r="744">
      <c r="C744" s="16"/>
      <c r="D744" s="16"/>
      <c r="E744" s="16"/>
    </row>
    <row r="745">
      <c r="C745" s="16"/>
      <c r="D745" s="16"/>
      <c r="E745" s="16"/>
    </row>
    <row r="746">
      <c r="C746" s="16"/>
      <c r="D746" s="16"/>
      <c r="E746" s="16"/>
    </row>
    <row r="747">
      <c r="C747" s="16"/>
      <c r="D747" s="16"/>
      <c r="E747" s="16"/>
    </row>
    <row r="748">
      <c r="C748" s="16"/>
      <c r="D748" s="16"/>
      <c r="E748" s="16"/>
    </row>
    <row r="749">
      <c r="C749" s="16"/>
      <c r="D749" s="16"/>
      <c r="E749" s="16"/>
    </row>
    <row r="750">
      <c r="C750" s="16"/>
      <c r="D750" s="16"/>
      <c r="E750" s="16"/>
    </row>
    <row r="751">
      <c r="C751" s="16"/>
      <c r="D751" s="16"/>
      <c r="E751" s="16"/>
    </row>
    <row r="752">
      <c r="C752" s="16"/>
      <c r="D752" s="16"/>
      <c r="E752" s="16"/>
    </row>
    <row r="753">
      <c r="C753" s="16"/>
      <c r="D753" s="16"/>
      <c r="E753" s="16"/>
    </row>
    <row r="754">
      <c r="C754" s="16"/>
      <c r="D754" s="16"/>
      <c r="E754" s="16"/>
    </row>
    <row r="755">
      <c r="C755" s="16"/>
      <c r="D755" s="16"/>
      <c r="E755" s="16"/>
    </row>
    <row r="756">
      <c r="C756" s="16"/>
      <c r="D756" s="16"/>
      <c r="E756" s="16"/>
    </row>
    <row r="757">
      <c r="C757" s="16"/>
      <c r="D757" s="16"/>
      <c r="E757" s="16"/>
    </row>
    <row r="758">
      <c r="C758" s="16"/>
      <c r="D758" s="16"/>
      <c r="E758" s="16"/>
    </row>
    <row r="759">
      <c r="C759" s="16"/>
      <c r="D759" s="16"/>
      <c r="E759" s="16"/>
    </row>
    <row r="760">
      <c r="C760" s="16"/>
      <c r="D760" s="16"/>
      <c r="E760" s="16"/>
    </row>
    <row r="761">
      <c r="C761" s="16"/>
      <c r="D761" s="16"/>
      <c r="E761" s="16"/>
    </row>
    <row r="762">
      <c r="C762" s="16"/>
      <c r="D762" s="16"/>
      <c r="E762" s="16"/>
    </row>
    <row r="763">
      <c r="C763" s="16"/>
      <c r="D763" s="16"/>
      <c r="E763" s="16"/>
    </row>
    <row r="764">
      <c r="C764" s="16"/>
      <c r="D764" s="16"/>
      <c r="E764" s="16"/>
    </row>
    <row r="765">
      <c r="C765" s="16"/>
      <c r="D765" s="16"/>
      <c r="E765" s="16"/>
    </row>
    <row r="766">
      <c r="C766" s="16"/>
      <c r="D766" s="16"/>
      <c r="E766" s="16"/>
    </row>
    <row r="767">
      <c r="C767" s="16"/>
      <c r="D767" s="16"/>
      <c r="E767" s="16"/>
    </row>
    <row r="768">
      <c r="C768" s="16"/>
      <c r="D768" s="16"/>
      <c r="E768" s="16"/>
    </row>
    <row r="769">
      <c r="C769" s="16"/>
      <c r="D769" s="16"/>
      <c r="E769" s="16"/>
    </row>
    <row r="770">
      <c r="C770" s="16"/>
      <c r="D770" s="16"/>
      <c r="E770" s="16"/>
    </row>
    <row r="771">
      <c r="C771" s="16"/>
      <c r="D771" s="16"/>
      <c r="E771" s="16"/>
    </row>
    <row r="772">
      <c r="C772" s="16"/>
      <c r="D772" s="16"/>
      <c r="E772" s="16"/>
    </row>
    <row r="773">
      <c r="C773" s="16"/>
      <c r="D773" s="16"/>
      <c r="E773" s="16"/>
    </row>
    <row r="774">
      <c r="C774" s="16"/>
      <c r="D774" s="16"/>
      <c r="E774" s="16"/>
    </row>
    <row r="775">
      <c r="C775" s="16"/>
      <c r="D775" s="16"/>
      <c r="E775" s="16"/>
    </row>
    <row r="776">
      <c r="C776" s="16"/>
      <c r="D776" s="16"/>
      <c r="E776" s="16"/>
    </row>
    <row r="777">
      <c r="C777" s="16"/>
      <c r="D777" s="16"/>
      <c r="E777" s="16"/>
    </row>
    <row r="778">
      <c r="C778" s="16"/>
      <c r="D778" s="16"/>
      <c r="E778" s="16"/>
    </row>
    <row r="779">
      <c r="C779" s="16"/>
      <c r="D779" s="16"/>
      <c r="E779" s="16"/>
    </row>
    <row r="780">
      <c r="C780" s="16"/>
      <c r="D780" s="16"/>
      <c r="E780" s="16"/>
    </row>
    <row r="781">
      <c r="C781" s="16"/>
      <c r="D781" s="16"/>
      <c r="E781" s="16"/>
    </row>
    <row r="782">
      <c r="C782" s="16"/>
      <c r="D782" s="16"/>
      <c r="E782" s="16"/>
    </row>
    <row r="783">
      <c r="C783" s="16"/>
      <c r="D783" s="16"/>
      <c r="E783" s="16"/>
    </row>
    <row r="784">
      <c r="C784" s="16"/>
      <c r="D784" s="16"/>
      <c r="E784" s="16"/>
    </row>
    <row r="785">
      <c r="C785" s="16"/>
      <c r="D785" s="16"/>
      <c r="E785" s="16"/>
    </row>
    <row r="786">
      <c r="C786" s="16"/>
      <c r="D786" s="16"/>
      <c r="E786" s="16"/>
    </row>
    <row r="787">
      <c r="C787" s="16"/>
      <c r="D787" s="16"/>
      <c r="E787" s="16"/>
    </row>
    <row r="788">
      <c r="C788" s="16"/>
      <c r="D788" s="16"/>
      <c r="E788" s="16"/>
    </row>
    <row r="789">
      <c r="C789" s="16"/>
      <c r="D789" s="16"/>
      <c r="E789" s="16"/>
    </row>
    <row r="790">
      <c r="C790" s="16"/>
      <c r="D790" s="16"/>
      <c r="E790" s="16"/>
    </row>
    <row r="791">
      <c r="C791" s="16"/>
      <c r="D791" s="16"/>
      <c r="E791" s="16"/>
    </row>
    <row r="792">
      <c r="C792" s="16"/>
      <c r="D792" s="16"/>
      <c r="E792" s="16"/>
    </row>
    <row r="793">
      <c r="C793" s="16"/>
      <c r="D793" s="16"/>
      <c r="E793" s="16"/>
    </row>
    <row r="794">
      <c r="C794" s="16"/>
      <c r="D794" s="16"/>
      <c r="E794" s="16"/>
    </row>
    <row r="795">
      <c r="C795" s="16"/>
      <c r="D795" s="16"/>
      <c r="E795" s="16"/>
    </row>
    <row r="796">
      <c r="C796" s="16"/>
      <c r="D796" s="16"/>
      <c r="E796" s="16"/>
    </row>
    <row r="797">
      <c r="C797" s="16"/>
      <c r="D797" s="16"/>
      <c r="E797" s="16"/>
    </row>
    <row r="798">
      <c r="C798" s="16"/>
      <c r="D798" s="16"/>
      <c r="E798" s="16"/>
    </row>
    <row r="799">
      <c r="C799" s="16"/>
      <c r="D799" s="16"/>
      <c r="E799" s="16"/>
    </row>
    <row r="800">
      <c r="C800" s="16"/>
      <c r="D800" s="16"/>
      <c r="E800" s="16"/>
    </row>
    <row r="801">
      <c r="C801" s="16"/>
      <c r="D801" s="16"/>
      <c r="E801" s="16"/>
    </row>
    <row r="802">
      <c r="C802" s="16"/>
      <c r="D802" s="16"/>
      <c r="E802" s="16"/>
    </row>
    <row r="803">
      <c r="C803" s="16"/>
      <c r="D803" s="16"/>
      <c r="E803" s="16"/>
    </row>
    <row r="804">
      <c r="C804" s="16"/>
      <c r="D804" s="16"/>
      <c r="E804" s="16"/>
    </row>
    <row r="805">
      <c r="C805" s="16"/>
      <c r="D805" s="16"/>
      <c r="E805" s="16"/>
    </row>
    <row r="806">
      <c r="C806" s="16"/>
      <c r="D806" s="16"/>
      <c r="E806" s="16"/>
    </row>
    <row r="807">
      <c r="C807" s="16"/>
      <c r="D807" s="16"/>
      <c r="E807" s="16"/>
    </row>
    <row r="808">
      <c r="C808" s="16"/>
      <c r="D808" s="16"/>
      <c r="E808" s="16"/>
    </row>
    <row r="809">
      <c r="C809" s="16"/>
      <c r="D809" s="16"/>
      <c r="E809" s="16"/>
    </row>
    <row r="810">
      <c r="C810" s="16"/>
      <c r="D810" s="16"/>
      <c r="E810" s="16"/>
    </row>
    <row r="811">
      <c r="C811" s="16"/>
      <c r="D811" s="16"/>
      <c r="E811" s="16"/>
    </row>
    <row r="812">
      <c r="C812" s="16"/>
      <c r="D812" s="16"/>
      <c r="E812" s="16"/>
    </row>
    <row r="813">
      <c r="C813" s="16"/>
      <c r="D813" s="16"/>
      <c r="E813" s="16"/>
    </row>
    <row r="814">
      <c r="C814" s="16"/>
      <c r="D814" s="16"/>
      <c r="E814" s="16"/>
    </row>
    <row r="815">
      <c r="C815" s="16"/>
      <c r="D815" s="16"/>
      <c r="E815" s="16"/>
    </row>
    <row r="816">
      <c r="C816" s="16"/>
      <c r="D816" s="16"/>
      <c r="E816" s="16"/>
    </row>
    <row r="817">
      <c r="C817" s="16"/>
      <c r="D817" s="16"/>
      <c r="E817" s="16"/>
    </row>
    <row r="818">
      <c r="C818" s="16"/>
      <c r="D818" s="16"/>
      <c r="E818" s="16"/>
    </row>
    <row r="819">
      <c r="C819" s="16"/>
      <c r="D819" s="16"/>
      <c r="E819" s="16"/>
    </row>
    <row r="820">
      <c r="C820" s="16"/>
      <c r="D820" s="16"/>
      <c r="E820" s="16"/>
    </row>
    <row r="821">
      <c r="C821" s="16"/>
      <c r="D821" s="16"/>
      <c r="E821" s="16"/>
    </row>
    <row r="822">
      <c r="C822" s="16"/>
      <c r="D822" s="16"/>
      <c r="E822" s="16"/>
    </row>
    <row r="823">
      <c r="C823" s="16"/>
      <c r="D823" s="16"/>
      <c r="E823" s="16"/>
    </row>
    <row r="824">
      <c r="C824" s="16"/>
      <c r="D824" s="16"/>
      <c r="E824" s="16"/>
    </row>
    <row r="825">
      <c r="C825" s="16"/>
      <c r="D825" s="16"/>
      <c r="E825" s="16"/>
    </row>
    <row r="826">
      <c r="C826" s="16"/>
      <c r="D826" s="16"/>
      <c r="E826" s="16"/>
    </row>
    <row r="827">
      <c r="C827" s="16"/>
      <c r="D827" s="16"/>
      <c r="E827" s="16"/>
    </row>
    <row r="828">
      <c r="C828" s="16"/>
      <c r="D828" s="16"/>
      <c r="E828" s="16"/>
    </row>
    <row r="829">
      <c r="C829" s="16"/>
      <c r="D829" s="16"/>
      <c r="E829" s="16"/>
    </row>
    <row r="830">
      <c r="C830" s="16"/>
      <c r="D830" s="16"/>
      <c r="E830" s="16"/>
    </row>
    <row r="831">
      <c r="C831" s="16"/>
      <c r="D831" s="16"/>
      <c r="E831" s="16"/>
    </row>
    <row r="832">
      <c r="C832" s="16"/>
      <c r="D832" s="16"/>
      <c r="E832" s="16"/>
    </row>
    <row r="833">
      <c r="C833" s="16"/>
      <c r="D833" s="16"/>
      <c r="E833" s="16"/>
    </row>
    <row r="834">
      <c r="C834" s="16"/>
      <c r="D834" s="16"/>
      <c r="E834" s="16"/>
    </row>
    <row r="835">
      <c r="C835" s="16"/>
      <c r="D835" s="16"/>
      <c r="E835" s="16"/>
    </row>
    <row r="836">
      <c r="C836" s="16"/>
      <c r="D836" s="16"/>
      <c r="E836" s="16"/>
    </row>
    <row r="837">
      <c r="C837" s="16"/>
      <c r="D837" s="16"/>
      <c r="E837" s="16"/>
    </row>
    <row r="838">
      <c r="C838" s="16"/>
      <c r="D838" s="16"/>
      <c r="E838" s="16"/>
    </row>
    <row r="839">
      <c r="C839" s="16"/>
      <c r="D839" s="16"/>
      <c r="E839" s="16"/>
    </row>
    <row r="840">
      <c r="C840" s="16"/>
      <c r="D840" s="16"/>
      <c r="E840" s="16"/>
    </row>
    <row r="841">
      <c r="C841" s="16"/>
      <c r="D841" s="16"/>
      <c r="E841" s="16"/>
    </row>
    <row r="842">
      <c r="C842" s="16"/>
      <c r="D842" s="16"/>
      <c r="E842" s="16"/>
    </row>
    <row r="843">
      <c r="C843" s="16"/>
      <c r="D843" s="16"/>
      <c r="E843" s="16"/>
    </row>
    <row r="844">
      <c r="C844" s="16"/>
      <c r="D844" s="16"/>
      <c r="E844" s="16"/>
    </row>
    <row r="845">
      <c r="C845" s="16"/>
      <c r="D845" s="16"/>
      <c r="E845" s="16"/>
    </row>
    <row r="846">
      <c r="C846" s="16"/>
      <c r="D846" s="16"/>
      <c r="E846" s="16"/>
    </row>
    <row r="847">
      <c r="C847" s="16"/>
      <c r="D847" s="16"/>
      <c r="E847" s="16"/>
    </row>
    <row r="848">
      <c r="C848" s="16"/>
      <c r="D848" s="16"/>
      <c r="E848" s="16"/>
    </row>
    <row r="849">
      <c r="C849" s="16"/>
      <c r="D849" s="16"/>
      <c r="E849" s="16"/>
    </row>
    <row r="850">
      <c r="C850" s="16"/>
      <c r="D850" s="16"/>
      <c r="E850" s="16"/>
    </row>
    <row r="851">
      <c r="C851" s="16"/>
      <c r="D851" s="16"/>
      <c r="E851" s="16"/>
    </row>
    <row r="852">
      <c r="C852" s="16"/>
      <c r="D852" s="16"/>
      <c r="E852" s="16"/>
    </row>
    <row r="853">
      <c r="C853" s="16"/>
      <c r="D853" s="16"/>
      <c r="E853" s="16"/>
    </row>
    <row r="854">
      <c r="C854" s="16"/>
      <c r="D854" s="16"/>
      <c r="E854" s="16"/>
    </row>
    <row r="855">
      <c r="C855" s="16"/>
      <c r="D855" s="16"/>
      <c r="E855" s="16"/>
    </row>
    <row r="856">
      <c r="C856" s="16"/>
      <c r="D856" s="16"/>
      <c r="E856" s="16"/>
    </row>
    <row r="857">
      <c r="C857" s="16"/>
      <c r="D857" s="16"/>
      <c r="E857" s="16"/>
    </row>
    <row r="858">
      <c r="C858" s="16"/>
      <c r="D858" s="16"/>
      <c r="E858" s="16"/>
    </row>
    <row r="859">
      <c r="C859" s="16"/>
      <c r="D859" s="16"/>
      <c r="E859" s="16"/>
    </row>
    <row r="860">
      <c r="C860" s="16"/>
      <c r="D860" s="16"/>
      <c r="E860" s="16"/>
    </row>
    <row r="861">
      <c r="C861" s="16"/>
      <c r="D861" s="16"/>
      <c r="E861" s="16"/>
    </row>
    <row r="862">
      <c r="C862" s="16"/>
      <c r="D862" s="16"/>
      <c r="E862" s="16"/>
    </row>
    <row r="863">
      <c r="C863" s="16"/>
      <c r="D863" s="16"/>
      <c r="E863" s="16"/>
    </row>
    <row r="864">
      <c r="C864" s="16"/>
      <c r="D864" s="16"/>
      <c r="E864" s="16"/>
    </row>
    <row r="865">
      <c r="C865" s="16"/>
      <c r="D865" s="16"/>
      <c r="E865" s="16"/>
    </row>
    <row r="866">
      <c r="C866" s="16"/>
      <c r="D866" s="16"/>
      <c r="E866" s="16"/>
    </row>
    <row r="867">
      <c r="C867" s="16"/>
      <c r="D867" s="16"/>
      <c r="E867" s="16"/>
    </row>
    <row r="868">
      <c r="C868" s="16"/>
      <c r="D868" s="16"/>
      <c r="E868" s="16"/>
    </row>
    <row r="869">
      <c r="C869" s="16"/>
      <c r="D869" s="16"/>
      <c r="E869" s="16"/>
    </row>
    <row r="870">
      <c r="C870" s="16"/>
      <c r="D870" s="16"/>
      <c r="E870" s="16"/>
    </row>
    <row r="871">
      <c r="C871" s="16"/>
      <c r="D871" s="16"/>
      <c r="E871" s="16"/>
    </row>
    <row r="872">
      <c r="C872" s="16"/>
      <c r="D872" s="16"/>
      <c r="E872" s="16"/>
    </row>
    <row r="873">
      <c r="C873" s="16"/>
      <c r="D873" s="16"/>
      <c r="E873" s="16"/>
    </row>
    <row r="874">
      <c r="C874" s="16"/>
      <c r="D874" s="16"/>
      <c r="E874" s="16"/>
    </row>
    <row r="875">
      <c r="C875" s="16"/>
      <c r="D875" s="16"/>
      <c r="E875" s="16"/>
    </row>
    <row r="876">
      <c r="C876" s="16"/>
      <c r="D876" s="16"/>
      <c r="E876" s="16"/>
    </row>
    <row r="877">
      <c r="C877" s="16"/>
      <c r="D877" s="16"/>
      <c r="E877" s="16"/>
    </row>
    <row r="878">
      <c r="C878" s="16"/>
      <c r="D878" s="16"/>
      <c r="E878" s="16"/>
    </row>
    <row r="879">
      <c r="C879" s="16"/>
      <c r="D879" s="16"/>
      <c r="E879" s="16"/>
    </row>
    <row r="880">
      <c r="C880" s="16"/>
      <c r="D880" s="16"/>
      <c r="E880" s="16"/>
    </row>
    <row r="881">
      <c r="C881" s="16"/>
      <c r="D881" s="16"/>
      <c r="E881" s="16"/>
    </row>
    <row r="882">
      <c r="C882" s="16"/>
      <c r="D882" s="16"/>
      <c r="E882" s="16"/>
    </row>
    <row r="883">
      <c r="C883" s="16"/>
      <c r="D883" s="16"/>
      <c r="E883" s="16"/>
    </row>
    <row r="884">
      <c r="C884" s="16"/>
      <c r="D884" s="16"/>
      <c r="E884" s="16"/>
    </row>
    <row r="885">
      <c r="C885" s="16"/>
      <c r="D885" s="16"/>
      <c r="E885" s="16"/>
    </row>
    <row r="886">
      <c r="C886" s="16"/>
      <c r="D886" s="16"/>
      <c r="E886" s="16"/>
    </row>
    <row r="887">
      <c r="C887" s="16"/>
      <c r="D887" s="16"/>
      <c r="E887" s="16"/>
    </row>
    <row r="888">
      <c r="C888" s="16"/>
      <c r="D888" s="16"/>
      <c r="E888" s="16"/>
    </row>
    <row r="889">
      <c r="C889" s="16"/>
      <c r="D889" s="16"/>
      <c r="E889" s="16"/>
    </row>
    <row r="890">
      <c r="C890" s="16"/>
      <c r="D890" s="16"/>
      <c r="E890" s="16"/>
    </row>
    <row r="891">
      <c r="C891" s="16"/>
      <c r="D891" s="16"/>
      <c r="E891" s="16"/>
    </row>
    <row r="892">
      <c r="C892" s="16"/>
      <c r="D892" s="16"/>
      <c r="E892" s="16"/>
    </row>
    <row r="893">
      <c r="C893" s="16"/>
      <c r="D893" s="16"/>
      <c r="E893" s="16"/>
    </row>
    <row r="894">
      <c r="C894" s="16"/>
      <c r="D894" s="16"/>
      <c r="E894" s="16"/>
    </row>
    <row r="895">
      <c r="C895" s="16"/>
      <c r="D895" s="16"/>
      <c r="E895" s="16"/>
    </row>
    <row r="896">
      <c r="C896" s="16"/>
      <c r="D896" s="16"/>
      <c r="E896" s="16"/>
    </row>
    <row r="897">
      <c r="C897" s="16"/>
      <c r="D897" s="16"/>
      <c r="E897" s="16"/>
    </row>
    <row r="898">
      <c r="C898" s="16"/>
      <c r="D898" s="16"/>
      <c r="E898" s="16"/>
    </row>
    <row r="899">
      <c r="C899" s="16"/>
      <c r="D899" s="16"/>
      <c r="E899" s="16"/>
    </row>
    <row r="900">
      <c r="C900" s="16"/>
      <c r="D900" s="16"/>
      <c r="E900" s="16"/>
    </row>
    <row r="901">
      <c r="C901" s="16"/>
      <c r="D901" s="16"/>
      <c r="E901" s="16"/>
    </row>
    <row r="902">
      <c r="C902" s="16"/>
      <c r="D902" s="16"/>
      <c r="E902" s="16"/>
    </row>
    <row r="903">
      <c r="C903" s="16"/>
      <c r="D903" s="16"/>
      <c r="E903" s="16"/>
    </row>
    <row r="904">
      <c r="C904" s="16"/>
      <c r="D904" s="16"/>
      <c r="E904" s="16"/>
    </row>
    <row r="905">
      <c r="C905" s="16"/>
      <c r="D905" s="16"/>
      <c r="E905" s="16"/>
    </row>
    <row r="906">
      <c r="C906" s="16"/>
      <c r="D906" s="16"/>
      <c r="E906" s="16"/>
    </row>
    <row r="907">
      <c r="C907" s="16"/>
      <c r="D907" s="16"/>
      <c r="E907" s="16"/>
    </row>
    <row r="908">
      <c r="C908" s="16"/>
      <c r="D908" s="16"/>
      <c r="E908" s="16"/>
    </row>
    <row r="909">
      <c r="C909" s="16"/>
      <c r="D909" s="16"/>
      <c r="E909" s="16"/>
    </row>
    <row r="910">
      <c r="C910" s="16"/>
      <c r="D910" s="16"/>
      <c r="E910" s="16"/>
    </row>
    <row r="911">
      <c r="C911" s="16"/>
      <c r="D911" s="16"/>
      <c r="E911" s="16"/>
    </row>
    <row r="912">
      <c r="C912" s="16"/>
      <c r="D912" s="16"/>
      <c r="E912" s="16"/>
    </row>
    <row r="913">
      <c r="C913" s="16"/>
      <c r="D913" s="16"/>
      <c r="E913" s="16"/>
    </row>
    <row r="914">
      <c r="C914" s="16"/>
      <c r="D914" s="16"/>
      <c r="E914" s="16"/>
    </row>
    <row r="915">
      <c r="C915" s="16"/>
      <c r="D915" s="16"/>
      <c r="E915" s="16"/>
    </row>
    <row r="916">
      <c r="C916" s="16"/>
      <c r="D916" s="16"/>
      <c r="E916" s="16"/>
    </row>
    <row r="917">
      <c r="C917" s="16"/>
      <c r="D917" s="16"/>
      <c r="E917" s="16"/>
    </row>
    <row r="918">
      <c r="C918" s="16"/>
      <c r="D918" s="16"/>
      <c r="E918" s="16"/>
    </row>
    <row r="919">
      <c r="C919" s="16"/>
      <c r="D919" s="16"/>
      <c r="E919" s="16"/>
    </row>
    <row r="920">
      <c r="C920" s="16"/>
      <c r="D920" s="16"/>
      <c r="E920" s="16"/>
    </row>
    <row r="921">
      <c r="C921" s="16"/>
      <c r="D921" s="16"/>
      <c r="E921" s="16"/>
    </row>
    <row r="922">
      <c r="C922" s="16"/>
      <c r="D922" s="16"/>
      <c r="E922" s="16"/>
    </row>
    <row r="923">
      <c r="C923" s="16"/>
      <c r="D923" s="16"/>
      <c r="E923" s="16"/>
    </row>
    <row r="924">
      <c r="C924" s="16"/>
      <c r="D924" s="16"/>
      <c r="E924" s="16"/>
    </row>
    <row r="925">
      <c r="C925" s="16"/>
      <c r="D925" s="16"/>
      <c r="E925" s="16"/>
    </row>
    <row r="926">
      <c r="C926" s="16"/>
      <c r="D926" s="16"/>
      <c r="E926" s="16"/>
    </row>
    <row r="927">
      <c r="C927" s="16"/>
      <c r="D927" s="16"/>
      <c r="E927" s="16"/>
    </row>
    <row r="928">
      <c r="C928" s="16"/>
      <c r="D928" s="16"/>
      <c r="E928" s="16"/>
    </row>
    <row r="929">
      <c r="C929" s="16"/>
      <c r="D929" s="16"/>
      <c r="E929" s="16"/>
    </row>
    <row r="930">
      <c r="C930" s="16"/>
      <c r="D930" s="16"/>
      <c r="E930" s="16"/>
    </row>
    <row r="931">
      <c r="C931" s="16"/>
      <c r="D931" s="16"/>
      <c r="E931" s="16"/>
    </row>
    <row r="932">
      <c r="C932" s="16"/>
      <c r="D932" s="16"/>
      <c r="E932" s="16"/>
    </row>
    <row r="933">
      <c r="C933" s="16"/>
      <c r="D933" s="16"/>
      <c r="E933" s="16"/>
    </row>
    <row r="934">
      <c r="C934" s="16"/>
      <c r="D934" s="16"/>
      <c r="E934" s="16"/>
    </row>
    <row r="935">
      <c r="C935" s="16"/>
      <c r="D935" s="16"/>
      <c r="E935" s="16"/>
    </row>
    <row r="936">
      <c r="C936" s="16"/>
      <c r="D936" s="16"/>
      <c r="E936" s="16"/>
    </row>
    <row r="937">
      <c r="C937" s="16"/>
      <c r="D937" s="16"/>
      <c r="E937" s="16"/>
    </row>
    <row r="938">
      <c r="C938" s="16"/>
      <c r="D938" s="16"/>
      <c r="E938" s="16"/>
    </row>
    <row r="939">
      <c r="C939" s="16"/>
      <c r="D939" s="16"/>
      <c r="E939" s="16"/>
    </row>
    <row r="940">
      <c r="C940" s="16"/>
      <c r="D940" s="16"/>
      <c r="E940" s="16"/>
    </row>
    <row r="941">
      <c r="C941" s="16"/>
      <c r="D941" s="16"/>
      <c r="E941" s="16"/>
    </row>
    <row r="942">
      <c r="C942" s="16"/>
      <c r="D942" s="16"/>
      <c r="E942" s="16"/>
    </row>
    <row r="943">
      <c r="C943" s="16"/>
      <c r="D943" s="16"/>
      <c r="E943" s="16"/>
    </row>
    <row r="944">
      <c r="C944" s="16"/>
      <c r="D944" s="16"/>
      <c r="E944" s="16"/>
    </row>
    <row r="945">
      <c r="C945" s="16"/>
      <c r="D945" s="16"/>
      <c r="E945" s="16"/>
    </row>
    <row r="946">
      <c r="C946" s="16"/>
      <c r="D946" s="16"/>
      <c r="E946" s="16"/>
    </row>
    <row r="947">
      <c r="C947" s="16"/>
      <c r="D947" s="16"/>
      <c r="E947" s="16"/>
    </row>
    <row r="948">
      <c r="C948" s="16"/>
      <c r="D948" s="16"/>
      <c r="E948" s="16"/>
    </row>
    <row r="949">
      <c r="C949" s="16"/>
      <c r="D949" s="16"/>
      <c r="E949" s="16"/>
    </row>
  </sheetData>
  <drawing r:id="rId1"/>
</worksheet>
</file>